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eversiglia/Desktop/"/>
    </mc:Choice>
  </mc:AlternateContent>
  <xr:revisionPtr revIDLastSave="0" documentId="13_ncr:1_{9BCBD854-8E18-3B43-B30E-91F0E16909C7}" xr6:coauthVersionLast="47" xr6:coauthVersionMax="47" xr10:uidLastSave="{00000000-0000-0000-0000-000000000000}"/>
  <bookViews>
    <workbookView xWindow="0" yWindow="660" windowWidth="19880" windowHeight="17300" xr2:uid="{93FF8672-4692-4D48-A16D-C9F767794B29}"/>
  </bookViews>
  <sheets>
    <sheet name="DAI 2°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4" i="4" l="1"/>
  <c r="F703" i="4"/>
  <c r="F676" i="4"/>
  <c r="F675" i="4"/>
  <c r="K620" i="4"/>
  <c r="F562" i="4"/>
  <c r="F561" i="4"/>
  <c r="F534" i="4"/>
  <c r="F533" i="4"/>
  <c r="K417" i="4"/>
  <c r="F418" i="4"/>
  <c r="F417" i="4"/>
  <c r="K389" i="4"/>
  <c r="F390" i="4"/>
  <c r="F389" i="4"/>
  <c r="F388" i="4"/>
  <c r="K361" i="4"/>
  <c r="K334" i="4"/>
  <c r="K333" i="4"/>
  <c r="F245" i="4"/>
  <c r="F244" i="4"/>
  <c r="F270" i="4"/>
  <c r="F269" i="4"/>
  <c r="F702" i="4"/>
  <c r="F701" i="4"/>
  <c r="F700" i="4"/>
  <c r="F674" i="4"/>
  <c r="F673" i="4"/>
  <c r="F672" i="4"/>
  <c r="F560" i="4"/>
  <c r="F559" i="4"/>
  <c r="F558" i="4"/>
  <c r="F557" i="4"/>
  <c r="F556" i="4"/>
  <c r="F555" i="4"/>
  <c r="F532" i="4"/>
  <c r="F531" i="4"/>
  <c r="F530" i="4"/>
  <c r="F529" i="4"/>
  <c r="F528" i="4"/>
  <c r="F527" i="4"/>
  <c r="F416" i="4"/>
  <c r="F415" i="4"/>
  <c r="F414" i="4"/>
  <c r="F413" i="4"/>
  <c r="F412" i="4"/>
  <c r="F411" i="4"/>
  <c r="F387" i="4"/>
  <c r="F386" i="4"/>
  <c r="F385" i="4"/>
  <c r="F243" i="4"/>
  <c r="F242" i="4"/>
  <c r="F241" i="4"/>
  <c r="F99" i="4"/>
  <c r="F127" i="4"/>
  <c r="F128" i="4"/>
  <c r="F671" i="4"/>
  <c r="F670" i="4"/>
  <c r="F669" i="4"/>
  <c r="F668" i="4"/>
  <c r="F667" i="4"/>
  <c r="F666" i="4"/>
  <c r="F665" i="4"/>
  <c r="F699" i="4"/>
  <c r="F698" i="4"/>
  <c r="F697" i="4"/>
  <c r="F696" i="4"/>
  <c r="F695" i="4"/>
  <c r="F694" i="4"/>
  <c r="F693" i="4"/>
  <c r="G693" i="4" s="1"/>
  <c r="H693" i="4" s="1"/>
  <c r="K693" i="4" s="1"/>
  <c r="F240" i="4"/>
  <c r="F239" i="4"/>
  <c r="F238" i="4"/>
  <c r="F268" i="4"/>
  <c r="F267" i="4"/>
  <c r="F266" i="4"/>
  <c r="F265" i="4"/>
  <c r="F264" i="4"/>
  <c r="F263" i="4"/>
  <c r="F262" i="4"/>
  <c r="G262" i="4" s="1"/>
  <c r="H262" i="4" s="1"/>
  <c r="K262" i="4" s="1"/>
  <c r="F261" i="4"/>
  <c r="F260" i="4"/>
  <c r="F259" i="4"/>
  <c r="F384" i="4"/>
  <c r="F383" i="4"/>
  <c r="F356" i="4"/>
  <c r="F123" i="4"/>
  <c r="F554" i="4"/>
  <c r="F553" i="4"/>
  <c r="F552" i="4"/>
  <c r="F551" i="4"/>
  <c r="F523" i="4"/>
  <c r="G523" i="4" s="1"/>
  <c r="H523" i="4" s="1"/>
  <c r="K523" i="4" s="1"/>
  <c r="F526" i="4"/>
  <c r="F525" i="4"/>
  <c r="F524" i="4"/>
  <c r="F382" i="4"/>
  <c r="F381" i="4"/>
  <c r="F380" i="4"/>
  <c r="F379" i="4"/>
  <c r="F378" i="4"/>
  <c r="F377" i="4"/>
  <c r="F376" i="4"/>
  <c r="F410" i="4"/>
  <c r="F409" i="4"/>
  <c r="F408" i="4"/>
  <c r="F404" i="4"/>
  <c r="F407" i="4"/>
  <c r="G407" i="4" s="1"/>
  <c r="H407" i="4" s="1"/>
  <c r="K407" i="4" s="1"/>
  <c r="F406" i="4"/>
  <c r="F405" i="4"/>
  <c r="F234" i="4"/>
  <c r="F237" i="4"/>
  <c r="F236" i="4"/>
  <c r="F235" i="4"/>
  <c r="F233" i="4"/>
  <c r="F232" i="4"/>
  <c r="F231" i="4"/>
  <c r="F692" i="4"/>
  <c r="F691" i="4"/>
  <c r="F690" i="4"/>
  <c r="F664" i="4"/>
  <c r="F663" i="4"/>
  <c r="F662" i="4"/>
  <c r="F608" i="4"/>
  <c r="F550" i="4"/>
  <c r="F549" i="4"/>
  <c r="F548" i="4"/>
  <c r="G548" i="4" s="1"/>
  <c r="H548" i="4" s="1"/>
  <c r="K548" i="4" s="1"/>
  <c r="F522" i="4"/>
  <c r="F521" i="4"/>
  <c r="F520" i="4"/>
  <c r="F350" i="4"/>
  <c r="F689" i="4"/>
  <c r="F661" i="4"/>
  <c r="F547" i="4"/>
  <c r="F519" i="4"/>
  <c r="F403" i="4"/>
  <c r="F375" i="4"/>
  <c r="F258" i="4"/>
  <c r="F230" i="4"/>
  <c r="F100" i="4"/>
  <c r="G100" i="4" s="1"/>
  <c r="H100" i="4" s="1"/>
  <c r="K100" i="4" s="1"/>
  <c r="F72" i="4"/>
  <c r="G72" i="4" s="1"/>
  <c r="H72" i="4" s="1"/>
  <c r="K72" i="4" s="1"/>
  <c r="F573" i="4"/>
  <c r="G573" i="4" s="1"/>
  <c r="H573" i="4" s="1"/>
  <c r="K573" i="4" s="1"/>
  <c r="F572" i="4"/>
  <c r="G572" i="4" s="1"/>
  <c r="H572" i="4" s="1"/>
  <c r="K572" i="4" s="1"/>
  <c r="F571" i="4"/>
  <c r="G571" i="4" s="1"/>
  <c r="H571" i="4" s="1"/>
  <c r="K571" i="4" s="1"/>
  <c r="F570" i="4"/>
  <c r="G570" i="4" s="1"/>
  <c r="H570" i="4" s="1"/>
  <c r="K570" i="4" s="1"/>
  <c r="F569" i="4"/>
  <c r="G569" i="4" s="1"/>
  <c r="H569" i="4" s="1"/>
  <c r="K569" i="4" s="1"/>
  <c r="F568" i="4"/>
  <c r="G568" i="4" s="1"/>
  <c r="H568" i="4" s="1"/>
  <c r="K568" i="4" s="1"/>
  <c r="F567" i="4"/>
  <c r="G567" i="4" s="1"/>
  <c r="H567" i="4" s="1"/>
  <c r="K567" i="4" s="1"/>
  <c r="F566" i="4"/>
  <c r="G566" i="4" s="1"/>
  <c r="H566" i="4" s="1"/>
  <c r="K566" i="4" s="1"/>
  <c r="F565" i="4"/>
  <c r="G565" i="4" s="1"/>
  <c r="H565" i="4" s="1"/>
  <c r="K565" i="4" s="1"/>
  <c r="F564" i="4"/>
  <c r="G564" i="4" s="1"/>
  <c r="H564" i="4" s="1"/>
  <c r="K564" i="4" s="1"/>
  <c r="F563" i="4"/>
  <c r="G563" i="4" s="1"/>
  <c r="H563" i="4" s="1"/>
  <c r="K563" i="4" s="1"/>
  <c r="G562" i="4"/>
  <c r="H562" i="4" s="1"/>
  <c r="K562" i="4" s="1"/>
  <c r="G561" i="4"/>
  <c r="H561" i="4" s="1"/>
  <c r="K561" i="4" s="1"/>
  <c r="G560" i="4"/>
  <c r="H560" i="4" s="1"/>
  <c r="K560" i="4" s="1"/>
  <c r="G559" i="4"/>
  <c r="H559" i="4" s="1"/>
  <c r="K559" i="4" s="1"/>
  <c r="G558" i="4"/>
  <c r="H558" i="4" s="1"/>
  <c r="K558" i="4" s="1"/>
  <c r="G557" i="4"/>
  <c r="H557" i="4" s="1"/>
  <c r="K557" i="4" s="1"/>
  <c r="G556" i="4"/>
  <c r="H556" i="4" s="1"/>
  <c r="K556" i="4" s="1"/>
  <c r="G555" i="4"/>
  <c r="H555" i="4" s="1"/>
  <c r="K555" i="4" s="1"/>
  <c r="G554" i="4"/>
  <c r="H554" i="4" s="1"/>
  <c r="K554" i="4" s="1"/>
  <c r="G553" i="4"/>
  <c r="H553" i="4" s="1"/>
  <c r="K553" i="4" s="1"/>
  <c r="G552" i="4"/>
  <c r="H552" i="4" s="1"/>
  <c r="K552" i="4" s="1"/>
  <c r="G551" i="4"/>
  <c r="H551" i="4" s="1"/>
  <c r="K551" i="4" s="1"/>
  <c r="G550" i="4"/>
  <c r="H550" i="4" s="1"/>
  <c r="K550" i="4" s="1"/>
  <c r="G549" i="4"/>
  <c r="H549" i="4" s="1"/>
  <c r="K549" i="4" s="1"/>
  <c r="G547" i="4"/>
  <c r="H547" i="4" s="1"/>
  <c r="K547" i="4" s="1"/>
  <c r="H546" i="4"/>
  <c r="K546" i="4" s="1"/>
  <c r="G546" i="4"/>
  <c r="F545" i="4"/>
  <c r="G545" i="4" s="1"/>
  <c r="H545" i="4" s="1"/>
  <c r="K545" i="4" s="1"/>
  <c r="F544" i="4"/>
  <c r="G544" i="4" s="1"/>
  <c r="H544" i="4" s="1"/>
  <c r="K544" i="4" s="1"/>
  <c r="F543" i="4"/>
  <c r="G543" i="4" s="1"/>
  <c r="H543" i="4" s="1"/>
  <c r="K543" i="4" s="1"/>
  <c r="F542" i="4"/>
  <c r="G542" i="4" s="1"/>
  <c r="H542" i="4" s="1"/>
  <c r="K542" i="4" s="1"/>
  <c r="F541" i="4"/>
  <c r="G541" i="4" s="1"/>
  <c r="H541" i="4" s="1"/>
  <c r="K541" i="4" s="1"/>
  <c r="F540" i="4"/>
  <c r="G540" i="4" s="1"/>
  <c r="H540" i="4" s="1"/>
  <c r="K540" i="4" s="1"/>
  <c r="F539" i="4"/>
  <c r="G539" i="4" s="1"/>
  <c r="H539" i="4" s="1"/>
  <c r="K539" i="4" s="1"/>
  <c r="F538" i="4"/>
  <c r="G538" i="4" s="1"/>
  <c r="H538" i="4" s="1"/>
  <c r="K538" i="4" s="1"/>
  <c r="F537" i="4"/>
  <c r="G537" i="4" s="1"/>
  <c r="H537" i="4" s="1"/>
  <c r="K537" i="4" s="1"/>
  <c r="F536" i="4"/>
  <c r="G536" i="4" s="1"/>
  <c r="H536" i="4" s="1"/>
  <c r="K536" i="4" s="1"/>
  <c r="F535" i="4"/>
  <c r="G535" i="4" s="1"/>
  <c r="H535" i="4" s="1"/>
  <c r="K535" i="4" s="1"/>
  <c r="G534" i="4"/>
  <c r="H534" i="4" s="1"/>
  <c r="K534" i="4" s="1"/>
  <c r="G533" i="4"/>
  <c r="H533" i="4" s="1"/>
  <c r="K533" i="4" s="1"/>
  <c r="G532" i="4"/>
  <c r="H532" i="4" s="1"/>
  <c r="K532" i="4" s="1"/>
  <c r="G531" i="4"/>
  <c r="H531" i="4" s="1"/>
  <c r="K531" i="4" s="1"/>
  <c r="G530" i="4"/>
  <c r="H530" i="4" s="1"/>
  <c r="K530" i="4" s="1"/>
  <c r="G529" i="4"/>
  <c r="H529" i="4" s="1"/>
  <c r="K529" i="4" s="1"/>
  <c r="G528" i="4"/>
  <c r="H528" i="4" s="1"/>
  <c r="K528" i="4" s="1"/>
  <c r="G527" i="4"/>
  <c r="H527" i="4" s="1"/>
  <c r="K527" i="4" s="1"/>
  <c r="G526" i="4"/>
  <c r="H526" i="4" s="1"/>
  <c r="K526" i="4" s="1"/>
  <c r="G525" i="4"/>
  <c r="H525" i="4" s="1"/>
  <c r="K525" i="4" s="1"/>
  <c r="G524" i="4"/>
  <c r="H524" i="4" s="1"/>
  <c r="K524" i="4" s="1"/>
  <c r="G522" i="4"/>
  <c r="H522" i="4" s="1"/>
  <c r="K522" i="4" s="1"/>
  <c r="G521" i="4"/>
  <c r="H521" i="4" s="1"/>
  <c r="K521" i="4" s="1"/>
  <c r="G520" i="4"/>
  <c r="H520" i="4" s="1"/>
  <c r="K520" i="4" s="1"/>
  <c r="G519" i="4"/>
  <c r="H519" i="4" s="1"/>
  <c r="K519" i="4" s="1"/>
  <c r="H518" i="4"/>
  <c r="K518" i="4" s="1"/>
  <c r="G518" i="4"/>
  <c r="F424" i="4"/>
  <c r="G424" i="4" s="1"/>
  <c r="H424" i="4" s="1"/>
  <c r="F423" i="4"/>
  <c r="G423" i="4" s="1"/>
  <c r="H423" i="4" s="1"/>
  <c r="K423" i="4" s="1"/>
  <c r="F422" i="4"/>
  <c r="G422" i="4" s="1"/>
  <c r="H422" i="4" s="1"/>
  <c r="K422" i="4" s="1"/>
  <c r="F421" i="4"/>
  <c r="G421" i="4" s="1"/>
  <c r="H421" i="4" s="1"/>
  <c r="K421" i="4" s="1"/>
  <c r="F420" i="4"/>
  <c r="G420" i="4" s="1"/>
  <c r="H420" i="4" s="1"/>
  <c r="K420" i="4" s="1"/>
  <c r="F419" i="4"/>
  <c r="G419" i="4" s="1"/>
  <c r="H419" i="4" s="1"/>
  <c r="G418" i="4"/>
  <c r="H418" i="4" s="1"/>
  <c r="K418" i="4" s="1"/>
  <c r="G417" i="4"/>
  <c r="H417" i="4" s="1"/>
  <c r="G416" i="4"/>
  <c r="H416" i="4" s="1"/>
  <c r="K416" i="4" s="1"/>
  <c r="G415" i="4"/>
  <c r="H415" i="4" s="1"/>
  <c r="K415" i="4" s="1"/>
  <c r="G414" i="4"/>
  <c r="H414" i="4" s="1"/>
  <c r="K414" i="4" s="1"/>
  <c r="G413" i="4"/>
  <c r="H413" i="4" s="1"/>
  <c r="K413" i="4" s="1"/>
  <c r="G412" i="4"/>
  <c r="H412" i="4" s="1"/>
  <c r="K412" i="4" s="1"/>
  <c r="G411" i="4"/>
  <c r="H411" i="4" s="1"/>
  <c r="K411" i="4" s="1"/>
  <c r="G410" i="4"/>
  <c r="H410" i="4" s="1"/>
  <c r="K410" i="4" s="1"/>
  <c r="G409" i="4"/>
  <c r="H409" i="4" s="1"/>
  <c r="K409" i="4" s="1"/>
  <c r="G408" i="4"/>
  <c r="H408" i="4" s="1"/>
  <c r="K408" i="4" s="1"/>
  <c r="G406" i="4"/>
  <c r="H406" i="4" s="1"/>
  <c r="K406" i="4" s="1"/>
  <c r="G405" i="4"/>
  <c r="H405" i="4" s="1"/>
  <c r="K405" i="4" s="1"/>
  <c r="G404" i="4"/>
  <c r="H404" i="4" s="1"/>
  <c r="K404" i="4" s="1"/>
  <c r="G403" i="4"/>
  <c r="H403" i="4" s="1"/>
  <c r="K403" i="4" s="1"/>
  <c r="H402" i="4"/>
  <c r="K402" i="4" s="1"/>
  <c r="G402" i="4"/>
  <c r="F396" i="4"/>
  <c r="G396" i="4" s="1"/>
  <c r="H396" i="4" s="1"/>
  <c r="F395" i="4"/>
  <c r="G395" i="4" s="1"/>
  <c r="H395" i="4" s="1"/>
  <c r="K395" i="4" s="1"/>
  <c r="F394" i="4"/>
  <c r="G394" i="4" s="1"/>
  <c r="H394" i="4" s="1"/>
  <c r="K394" i="4" s="1"/>
  <c r="F393" i="4"/>
  <c r="G393" i="4" s="1"/>
  <c r="H393" i="4" s="1"/>
  <c r="K393" i="4" s="1"/>
  <c r="F392" i="4"/>
  <c r="G392" i="4" s="1"/>
  <c r="H392" i="4" s="1"/>
  <c r="K392" i="4" s="1"/>
  <c r="F391" i="4"/>
  <c r="G391" i="4" s="1"/>
  <c r="H391" i="4" s="1"/>
  <c r="G390" i="4"/>
  <c r="H390" i="4" s="1"/>
  <c r="K390" i="4" s="1"/>
  <c r="G389" i="4"/>
  <c r="H389" i="4" s="1"/>
  <c r="G388" i="4"/>
  <c r="H388" i="4" s="1"/>
  <c r="K388" i="4" s="1"/>
  <c r="G387" i="4"/>
  <c r="H387" i="4" s="1"/>
  <c r="K387" i="4" s="1"/>
  <c r="G386" i="4"/>
  <c r="H386" i="4" s="1"/>
  <c r="K386" i="4" s="1"/>
  <c r="G385" i="4"/>
  <c r="H385" i="4" s="1"/>
  <c r="K385" i="4" s="1"/>
  <c r="G384" i="4"/>
  <c r="H384" i="4" s="1"/>
  <c r="K384" i="4" s="1"/>
  <c r="G383" i="4"/>
  <c r="H383" i="4" s="1"/>
  <c r="K383" i="4" s="1"/>
  <c r="G382" i="4"/>
  <c r="H382" i="4" s="1"/>
  <c r="K382" i="4" s="1"/>
  <c r="G381" i="4"/>
  <c r="H381" i="4" s="1"/>
  <c r="K381" i="4" s="1"/>
  <c r="G380" i="4"/>
  <c r="H380" i="4" s="1"/>
  <c r="K380" i="4" s="1"/>
  <c r="G379" i="4"/>
  <c r="H379" i="4" s="1"/>
  <c r="K379" i="4" s="1"/>
  <c r="G378" i="4"/>
  <c r="H378" i="4" s="1"/>
  <c r="K378" i="4" s="1"/>
  <c r="G377" i="4"/>
  <c r="H377" i="4" s="1"/>
  <c r="K377" i="4" s="1"/>
  <c r="G376" i="4"/>
  <c r="H376" i="4" s="1"/>
  <c r="K376" i="4" s="1"/>
  <c r="G375" i="4"/>
  <c r="H375" i="4" s="1"/>
  <c r="K375" i="4" s="1"/>
  <c r="H374" i="4"/>
  <c r="K374" i="4" s="1"/>
  <c r="G374" i="4"/>
  <c r="F284" i="4"/>
  <c r="G284" i="4" s="1"/>
  <c r="H284" i="4" s="1"/>
  <c r="K284" i="4" s="1"/>
  <c r="F283" i="4"/>
  <c r="G283" i="4" s="1"/>
  <c r="H283" i="4" s="1"/>
  <c r="K283" i="4" s="1"/>
  <c r="F282" i="4"/>
  <c r="G282" i="4" s="1"/>
  <c r="H282" i="4" s="1"/>
  <c r="K282" i="4" s="1"/>
  <c r="F281" i="4"/>
  <c r="G281" i="4" s="1"/>
  <c r="H281" i="4" s="1"/>
  <c r="K281" i="4" s="1"/>
  <c r="F280" i="4"/>
  <c r="G280" i="4" s="1"/>
  <c r="H280" i="4" s="1"/>
  <c r="K280" i="4" s="1"/>
  <c r="F279" i="4"/>
  <c r="G279" i="4" s="1"/>
  <c r="H279" i="4" s="1"/>
  <c r="K279" i="4" s="1"/>
  <c r="F278" i="4"/>
  <c r="G278" i="4" s="1"/>
  <c r="H278" i="4" s="1"/>
  <c r="K278" i="4" s="1"/>
  <c r="F277" i="4"/>
  <c r="G277" i="4" s="1"/>
  <c r="H277" i="4" s="1"/>
  <c r="K277" i="4" s="1"/>
  <c r="F276" i="4"/>
  <c r="G276" i="4" s="1"/>
  <c r="H276" i="4" s="1"/>
  <c r="K276" i="4" s="1"/>
  <c r="F275" i="4"/>
  <c r="G275" i="4" s="1"/>
  <c r="H275" i="4" s="1"/>
  <c r="K275" i="4" s="1"/>
  <c r="F274" i="4"/>
  <c r="G274" i="4" s="1"/>
  <c r="H274" i="4" s="1"/>
  <c r="K274" i="4" s="1"/>
  <c r="F273" i="4"/>
  <c r="G273" i="4" s="1"/>
  <c r="H273" i="4" s="1"/>
  <c r="K273" i="4" s="1"/>
  <c r="F272" i="4"/>
  <c r="G272" i="4" s="1"/>
  <c r="H272" i="4" s="1"/>
  <c r="K272" i="4" s="1"/>
  <c r="F271" i="4"/>
  <c r="G271" i="4" s="1"/>
  <c r="H271" i="4" s="1"/>
  <c r="K271" i="4" s="1"/>
  <c r="G270" i="4"/>
  <c r="H270" i="4" s="1"/>
  <c r="K270" i="4" s="1"/>
  <c r="G269" i="4"/>
  <c r="H269" i="4" s="1"/>
  <c r="K269" i="4" s="1"/>
  <c r="G268" i="4"/>
  <c r="H268" i="4" s="1"/>
  <c r="K268" i="4" s="1"/>
  <c r="G267" i="4"/>
  <c r="H267" i="4" s="1"/>
  <c r="K267" i="4" s="1"/>
  <c r="G266" i="4"/>
  <c r="H266" i="4" s="1"/>
  <c r="K266" i="4" s="1"/>
  <c r="G265" i="4"/>
  <c r="H265" i="4" s="1"/>
  <c r="K265" i="4" s="1"/>
  <c r="G264" i="4"/>
  <c r="H264" i="4" s="1"/>
  <c r="K264" i="4" s="1"/>
  <c r="G263" i="4"/>
  <c r="H263" i="4" s="1"/>
  <c r="K263" i="4" s="1"/>
  <c r="G261" i="4"/>
  <c r="H261" i="4" s="1"/>
  <c r="K261" i="4" s="1"/>
  <c r="G260" i="4"/>
  <c r="H260" i="4" s="1"/>
  <c r="K260" i="4" s="1"/>
  <c r="G259" i="4"/>
  <c r="H259" i="4" s="1"/>
  <c r="K259" i="4" s="1"/>
  <c r="G258" i="4"/>
  <c r="H258" i="4" s="1"/>
  <c r="K258" i="4" s="1"/>
  <c r="G257" i="4"/>
  <c r="H257" i="4" s="1"/>
  <c r="K257" i="4" s="1"/>
  <c r="F256" i="4"/>
  <c r="G256" i="4" s="1"/>
  <c r="H256" i="4" s="1"/>
  <c r="K256" i="4" s="1"/>
  <c r="F255" i="4"/>
  <c r="G255" i="4" s="1"/>
  <c r="H255" i="4" s="1"/>
  <c r="K255" i="4" s="1"/>
  <c r="F254" i="4"/>
  <c r="G254" i="4" s="1"/>
  <c r="H254" i="4" s="1"/>
  <c r="K254" i="4" s="1"/>
  <c r="F253" i="4"/>
  <c r="G253" i="4" s="1"/>
  <c r="H253" i="4" s="1"/>
  <c r="K253" i="4" s="1"/>
  <c r="F252" i="4"/>
  <c r="G252" i="4" s="1"/>
  <c r="H252" i="4" s="1"/>
  <c r="K252" i="4" s="1"/>
  <c r="F251" i="4"/>
  <c r="G251" i="4" s="1"/>
  <c r="H251" i="4" s="1"/>
  <c r="K251" i="4" s="1"/>
  <c r="F250" i="4"/>
  <c r="G250" i="4" s="1"/>
  <c r="H250" i="4" s="1"/>
  <c r="K250" i="4" s="1"/>
  <c r="F249" i="4"/>
  <c r="G249" i="4" s="1"/>
  <c r="H249" i="4" s="1"/>
  <c r="K249" i="4" s="1"/>
  <c r="F248" i="4"/>
  <c r="G248" i="4" s="1"/>
  <c r="H248" i="4" s="1"/>
  <c r="K248" i="4" s="1"/>
  <c r="F247" i="4"/>
  <c r="G247" i="4" s="1"/>
  <c r="H247" i="4" s="1"/>
  <c r="K247" i="4" s="1"/>
  <c r="F246" i="4"/>
  <c r="G246" i="4" s="1"/>
  <c r="H246" i="4" s="1"/>
  <c r="K246" i="4" s="1"/>
  <c r="G245" i="4"/>
  <c r="H245" i="4" s="1"/>
  <c r="K245" i="4" s="1"/>
  <c r="G244" i="4"/>
  <c r="H244" i="4" s="1"/>
  <c r="K244" i="4" s="1"/>
  <c r="G243" i="4"/>
  <c r="H243" i="4" s="1"/>
  <c r="K243" i="4" s="1"/>
  <c r="G242" i="4"/>
  <c r="H242" i="4" s="1"/>
  <c r="K242" i="4" s="1"/>
  <c r="G241" i="4"/>
  <c r="H241" i="4" s="1"/>
  <c r="K241" i="4" s="1"/>
  <c r="G240" i="4"/>
  <c r="H240" i="4" s="1"/>
  <c r="K240" i="4" s="1"/>
  <c r="G239" i="4"/>
  <c r="H239" i="4" s="1"/>
  <c r="K239" i="4" s="1"/>
  <c r="G238" i="4"/>
  <c r="H238" i="4" s="1"/>
  <c r="K238" i="4" s="1"/>
  <c r="G237" i="4"/>
  <c r="H237" i="4" s="1"/>
  <c r="K237" i="4" s="1"/>
  <c r="G236" i="4"/>
  <c r="H236" i="4" s="1"/>
  <c r="K236" i="4" s="1"/>
  <c r="G235" i="4"/>
  <c r="H235" i="4" s="1"/>
  <c r="K235" i="4" s="1"/>
  <c r="G234" i="4"/>
  <c r="H234" i="4" s="1"/>
  <c r="K234" i="4" s="1"/>
  <c r="G233" i="4"/>
  <c r="H233" i="4" s="1"/>
  <c r="K233" i="4" s="1"/>
  <c r="G232" i="4"/>
  <c r="H232" i="4" s="1"/>
  <c r="K232" i="4" s="1"/>
  <c r="G231" i="4"/>
  <c r="H231" i="4" s="1"/>
  <c r="K231" i="4" s="1"/>
  <c r="G230" i="4"/>
  <c r="H230" i="4" s="1"/>
  <c r="K230" i="4" s="1"/>
  <c r="G229" i="4"/>
  <c r="H229" i="4" s="1"/>
  <c r="K229" i="4" s="1"/>
  <c r="F141" i="4"/>
  <c r="G141" i="4" s="1"/>
  <c r="H141" i="4" s="1"/>
  <c r="K141" i="4" s="1"/>
  <c r="F140" i="4"/>
  <c r="G140" i="4" s="1"/>
  <c r="H140" i="4" s="1"/>
  <c r="K140" i="4" s="1"/>
  <c r="F139" i="4"/>
  <c r="G139" i="4" s="1"/>
  <c r="H139" i="4" s="1"/>
  <c r="K139" i="4" s="1"/>
  <c r="F138" i="4"/>
  <c r="G138" i="4" s="1"/>
  <c r="H138" i="4" s="1"/>
  <c r="K138" i="4" s="1"/>
  <c r="F137" i="4"/>
  <c r="G137" i="4" s="1"/>
  <c r="H137" i="4" s="1"/>
  <c r="K137" i="4" s="1"/>
  <c r="F136" i="4"/>
  <c r="G136" i="4" s="1"/>
  <c r="H136" i="4" s="1"/>
  <c r="K136" i="4" s="1"/>
  <c r="F135" i="4"/>
  <c r="G135" i="4" s="1"/>
  <c r="H135" i="4" s="1"/>
  <c r="K135" i="4" s="1"/>
  <c r="F134" i="4"/>
  <c r="G134" i="4" s="1"/>
  <c r="H134" i="4" s="1"/>
  <c r="K134" i="4" s="1"/>
  <c r="F133" i="4"/>
  <c r="G133" i="4" s="1"/>
  <c r="H133" i="4" s="1"/>
  <c r="K133" i="4" s="1"/>
  <c r="F132" i="4"/>
  <c r="G132" i="4" s="1"/>
  <c r="H132" i="4" s="1"/>
  <c r="K132" i="4" s="1"/>
  <c r="F131" i="4"/>
  <c r="G131" i="4" s="1"/>
  <c r="H131" i="4" s="1"/>
  <c r="K131" i="4" s="1"/>
  <c r="F130" i="4"/>
  <c r="G130" i="4" s="1"/>
  <c r="H130" i="4" s="1"/>
  <c r="K130" i="4" s="1"/>
  <c r="F129" i="4"/>
  <c r="G129" i="4" s="1"/>
  <c r="H129" i="4" s="1"/>
  <c r="K129" i="4" s="1"/>
  <c r="G128" i="4"/>
  <c r="H128" i="4" s="1"/>
  <c r="K128" i="4" s="1"/>
  <c r="G127" i="4"/>
  <c r="H127" i="4" s="1"/>
  <c r="K127" i="4" s="1"/>
  <c r="F126" i="4"/>
  <c r="G126" i="4" s="1"/>
  <c r="H126" i="4" s="1"/>
  <c r="K126" i="4" s="1"/>
  <c r="F125" i="4"/>
  <c r="G125" i="4" s="1"/>
  <c r="H125" i="4" s="1"/>
  <c r="K125" i="4" s="1"/>
  <c r="F124" i="4"/>
  <c r="G124" i="4" s="1"/>
  <c r="H124" i="4" s="1"/>
  <c r="K124" i="4" s="1"/>
  <c r="G123" i="4"/>
  <c r="H123" i="4" s="1"/>
  <c r="K123" i="4" s="1"/>
  <c r="F122" i="4"/>
  <c r="G122" i="4" s="1"/>
  <c r="H122" i="4" s="1"/>
  <c r="K122" i="4" s="1"/>
  <c r="F121" i="4"/>
  <c r="G121" i="4" s="1"/>
  <c r="H121" i="4" s="1"/>
  <c r="K121" i="4" s="1"/>
  <c r="F120" i="4"/>
  <c r="G120" i="4" s="1"/>
  <c r="H120" i="4" s="1"/>
  <c r="K120" i="4" s="1"/>
  <c r="F119" i="4"/>
  <c r="G119" i="4" s="1"/>
  <c r="H119" i="4" s="1"/>
  <c r="K119" i="4" s="1"/>
  <c r="F118" i="4"/>
  <c r="G118" i="4" s="1"/>
  <c r="H118" i="4" s="1"/>
  <c r="K118" i="4" s="1"/>
  <c r="F117" i="4"/>
  <c r="G117" i="4" s="1"/>
  <c r="H117" i="4" s="1"/>
  <c r="K117" i="4" s="1"/>
  <c r="F116" i="4"/>
  <c r="G116" i="4" s="1"/>
  <c r="H116" i="4" s="1"/>
  <c r="K116" i="4" s="1"/>
  <c r="F115" i="4"/>
  <c r="G115" i="4" s="1"/>
  <c r="H115" i="4" s="1"/>
  <c r="K115" i="4" s="1"/>
  <c r="G114" i="4"/>
  <c r="H114" i="4" s="1"/>
  <c r="K114" i="4" s="1"/>
  <c r="F113" i="4"/>
  <c r="G113" i="4" s="1"/>
  <c r="H113" i="4" s="1"/>
  <c r="K113" i="4" s="1"/>
  <c r="F112" i="4"/>
  <c r="G112" i="4" s="1"/>
  <c r="H112" i="4" s="1"/>
  <c r="K112" i="4" s="1"/>
  <c r="F111" i="4"/>
  <c r="G111" i="4" s="1"/>
  <c r="H111" i="4" s="1"/>
  <c r="K111" i="4" s="1"/>
  <c r="F110" i="4"/>
  <c r="G110" i="4" s="1"/>
  <c r="H110" i="4" s="1"/>
  <c r="K110" i="4" s="1"/>
  <c r="F109" i="4"/>
  <c r="G109" i="4" s="1"/>
  <c r="H109" i="4" s="1"/>
  <c r="K109" i="4" s="1"/>
  <c r="F108" i="4"/>
  <c r="G108" i="4" s="1"/>
  <c r="H108" i="4" s="1"/>
  <c r="K108" i="4" s="1"/>
  <c r="F107" i="4"/>
  <c r="G107" i="4" s="1"/>
  <c r="H107" i="4" s="1"/>
  <c r="K107" i="4" s="1"/>
  <c r="F106" i="4"/>
  <c r="G106" i="4" s="1"/>
  <c r="H106" i="4" s="1"/>
  <c r="K106" i="4" s="1"/>
  <c r="F105" i="4"/>
  <c r="G105" i="4" s="1"/>
  <c r="H105" i="4" s="1"/>
  <c r="K105" i="4" s="1"/>
  <c r="F104" i="4"/>
  <c r="G104" i="4" s="1"/>
  <c r="H104" i="4" s="1"/>
  <c r="K104" i="4" s="1"/>
  <c r="F103" i="4"/>
  <c r="G103" i="4" s="1"/>
  <c r="H103" i="4" s="1"/>
  <c r="K103" i="4" s="1"/>
  <c r="F102" i="4"/>
  <c r="G102" i="4" s="1"/>
  <c r="H102" i="4" s="1"/>
  <c r="K102" i="4" s="1"/>
  <c r="F101" i="4"/>
  <c r="G101" i="4" s="1"/>
  <c r="H101" i="4" s="1"/>
  <c r="K101" i="4" s="1"/>
  <c r="G99" i="4"/>
  <c r="H99" i="4" s="1"/>
  <c r="K99" i="4" s="1"/>
  <c r="F98" i="4"/>
  <c r="G98" i="4" s="1"/>
  <c r="H98" i="4" s="1"/>
  <c r="K98" i="4" s="1"/>
  <c r="F97" i="4"/>
  <c r="G97" i="4" s="1"/>
  <c r="H97" i="4" s="1"/>
  <c r="K97" i="4" s="1"/>
  <c r="F96" i="4"/>
  <c r="G96" i="4" s="1"/>
  <c r="H96" i="4" s="1"/>
  <c r="K96" i="4" s="1"/>
  <c r="F95" i="4"/>
  <c r="G95" i="4" s="1"/>
  <c r="H95" i="4" s="1"/>
  <c r="K95" i="4" s="1"/>
  <c r="F94" i="4"/>
  <c r="G94" i="4" s="1"/>
  <c r="H94" i="4" s="1"/>
  <c r="K94" i="4" s="1"/>
  <c r="F93" i="4"/>
  <c r="G93" i="4" s="1"/>
  <c r="H93" i="4" s="1"/>
  <c r="K93" i="4" s="1"/>
  <c r="F92" i="4"/>
  <c r="G92" i="4" s="1"/>
  <c r="H92" i="4" s="1"/>
  <c r="K92" i="4" s="1"/>
  <c r="F91" i="4"/>
  <c r="G91" i="4" s="1"/>
  <c r="H91" i="4" s="1"/>
  <c r="K91" i="4" s="1"/>
  <c r="F90" i="4"/>
  <c r="G90" i="4" s="1"/>
  <c r="H90" i="4" s="1"/>
  <c r="K90" i="4" s="1"/>
  <c r="F89" i="4"/>
  <c r="G89" i="4" s="1"/>
  <c r="H89" i="4" s="1"/>
  <c r="K89" i="4" s="1"/>
  <c r="F88" i="4"/>
  <c r="G88" i="4" s="1"/>
  <c r="H88" i="4" s="1"/>
  <c r="K88" i="4" s="1"/>
  <c r="F87" i="4"/>
  <c r="G87" i="4" s="1"/>
  <c r="H87" i="4" s="1"/>
  <c r="K87" i="4" s="1"/>
  <c r="G86" i="4"/>
  <c r="H86" i="4" s="1"/>
  <c r="K86" i="4" s="1"/>
  <c r="G145" i="4"/>
  <c r="H145" i="4" s="1"/>
  <c r="K145" i="4" s="1"/>
  <c r="F146" i="4"/>
  <c r="G146" i="4" s="1"/>
  <c r="H146" i="4" s="1"/>
  <c r="K146" i="4" s="1"/>
  <c r="F715" i="4"/>
  <c r="G715" i="4" s="1"/>
  <c r="H715" i="4" s="1"/>
  <c r="K715" i="4" s="1"/>
  <c r="F714" i="4"/>
  <c r="G714" i="4" s="1"/>
  <c r="H714" i="4" s="1"/>
  <c r="K714" i="4" s="1"/>
  <c r="F713" i="4"/>
  <c r="G713" i="4" s="1"/>
  <c r="H713" i="4" s="1"/>
  <c r="K713" i="4" s="1"/>
  <c r="F712" i="4"/>
  <c r="G712" i="4" s="1"/>
  <c r="H712" i="4" s="1"/>
  <c r="K712" i="4" s="1"/>
  <c r="F711" i="4"/>
  <c r="G711" i="4" s="1"/>
  <c r="H711" i="4" s="1"/>
  <c r="K711" i="4" s="1"/>
  <c r="F710" i="4"/>
  <c r="G710" i="4" s="1"/>
  <c r="H710" i="4" s="1"/>
  <c r="K710" i="4" s="1"/>
  <c r="F709" i="4"/>
  <c r="G709" i="4" s="1"/>
  <c r="H709" i="4" s="1"/>
  <c r="K709" i="4" s="1"/>
  <c r="F708" i="4"/>
  <c r="G708" i="4" s="1"/>
  <c r="H708" i="4" s="1"/>
  <c r="K708" i="4" s="1"/>
  <c r="F707" i="4"/>
  <c r="G707" i="4" s="1"/>
  <c r="H707" i="4" s="1"/>
  <c r="K707" i="4" s="1"/>
  <c r="F706" i="4"/>
  <c r="G706" i="4" s="1"/>
  <c r="H706" i="4" s="1"/>
  <c r="K706" i="4" s="1"/>
  <c r="F705" i="4"/>
  <c r="G705" i="4" s="1"/>
  <c r="H705" i="4" s="1"/>
  <c r="K705" i="4" s="1"/>
  <c r="G704" i="4"/>
  <c r="H704" i="4" s="1"/>
  <c r="K704" i="4" s="1"/>
  <c r="G703" i="4"/>
  <c r="H703" i="4" s="1"/>
  <c r="K703" i="4" s="1"/>
  <c r="G702" i="4"/>
  <c r="H702" i="4" s="1"/>
  <c r="K702" i="4" s="1"/>
  <c r="G701" i="4"/>
  <c r="H701" i="4" s="1"/>
  <c r="K701" i="4" s="1"/>
  <c r="G700" i="4"/>
  <c r="H700" i="4" s="1"/>
  <c r="K700" i="4" s="1"/>
  <c r="G699" i="4"/>
  <c r="H699" i="4" s="1"/>
  <c r="K699" i="4" s="1"/>
  <c r="G698" i="4"/>
  <c r="H698" i="4" s="1"/>
  <c r="K698" i="4" s="1"/>
  <c r="G697" i="4"/>
  <c r="H697" i="4" s="1"/>
  <c r="K697" i="4" s="1"/>
  <c r="G696" i="4"/>
  <c r="H696" i="4" s="1"/>
  <c r="K696" i="4" s="1"/>
  <c r="G695" i="4"/>
  <c r="H695" i="4" s="1"/>
  <c r="K695" i="4" s="1"/>
  <c r="G694" i="4"/>
  <c r="H694" i="4" s="1"/>
  <c r="K694" i="4" s="1"/>
  <c r="G692" i="4"/>
  <c r="H692" i="4" s="1"/>
  <c r="K692" i="4" s="1"/>
  <c r="G691" i="4"/>
  <c r="H691" i="4" s="1"/>
  <c r="K691" i="4" s="1"/>
  <c r="G690" i="4"/>
  <c r="H690" i="4" s="1"/>
  <c r="K690" i="4" s="1"/>
  <c r="G689" i="4"/>
  <c r="H689" i="4" s="1"/>
  <c r="K689" i="4" s="1"/>
  <c r="G688" i="4"/>
  <c r="H688" i="4" s="1"/>
  <c r="K688" i="4" s="1"/>
  <c r="F687" i="4"/>
  <c r="G687" i="4" s="1"/>
  <c r="H687" i="4" s="1"/>
  <c r="K687" i="4" s="1"/>
  <c r="F686" i="4"/>
  <c r="G686" i="4" s="1"/>
  <c r="H686" i="4" s="1"/>
  <c r="K686" i="4" s="1"/>
  <c r="F685" i="4"/>
  <c r="G685" i="4" s="1"/>
  <c r="H685" i="4" s="1"/>
  <c r="K685" i="4" s="1"/>
  <c r="F684" i="4"/>
  <c r="G684" i="4" s="1"/>
  <c r="H684" i="4" s="1"/>
  <c r="K684" i="4" s="1"/>
  <c r="F683" i="4"/>
  <c r="G683" i="4" s="1"/>
  <c r="H683" i="4" s="1"/>
  <c r="K683" i="4" s="1"/>
  <c r="F682" i="4"/>
  <c r="G682" i="4" s="1"/>
  <c r="H682" i="4" s="1"/>
  <c r="K682" i="4" s="1"/>
  <c r="F681" i="4"/>
  <c r="G681" i="4" s="1"/>
  <c r="H681" i="4" s="1"/>
  <c r="K681" i="4" s="1"/>
  <c r="F680" i="4"/>
  <c r="G680" i="4" s="1"/>
  <c r="H680" i="4" s="1"/>
  <c r="K680" i="4" s="1"/>
  <c r="F679" i="4"/>
  <c r="G679" i="4" s="1"/>
  <c r="H679" i="4" s="1"/>
  <c r="K679" i="4" s="1"/>
  <c r="F678" i="4"/>
  <c r="G678" i="4" s="1"/>
  <c r="H678" i="4" s="1"/>
  <c r="K678" i="4" s="1"/>
  <c r="F677" i="4"/>
  <c r="G677" i="4" s="1"/>
  <c r="H677" i="4" s="1"/>
  <c r="K677" i="4" s="1"/>
  <c r="G676" i="4"/>
  <c r="H676" i="4" s="1"/>
  <c r="K676" i="4" s="1"/>
  <c r="G675" i="4"/>
  <c r="H675" i="4" s="1"/>
  <c r="K675" i="4" s="1"/>
  <c r="G674" i="4"/>
  <c r="H674" i="4" s="1"/>
  <c r="K674" i="4" s="1"/>
  <c r="G673" i="4"/>
  <c r="H673" i="4" s="1"/>
  <c r="K673" i="4" s="1"/>
  <c r="G672" i="4"/>
  <c r="H672" i="4" s="1"/>
  <c r="K672" i="4" s="1"/>
  <c r="G671" i="4"/>
  <c r="H671" i="4" s="1"/>
  <c r="K671" i="4" s="1"/>
  <c r="G670" i="4"/>
  <c r="H670" i="4" s="1"/>
  <c r="K670" i="4" s="1"/>
  <c r="G669" i="4"/>
  <c r="H669" i="4" s="1"/>
  <c r="K669" i="4" s="1"/>
  <c r="G668" i="4"/>
  <c r="H668" i="4" s="1"/>
  <c r="K668" i="4" s="1"/>
  <c r="G667" i="4"/>
  <c r="H667" i="4" s="1"/>
  <c r="K667" i="4" s="1"/>
  <c r="G666" i="4"/>
  <c r="H666" i="4" s="1"/>
  <c r="K666" i="4" s="1"/>
  <c r="G665" i="4"/>
  <c r="H665" i="4" s="1"/>
  <c r="K665" i="4" s="1"/>
  <c r="G664" i="4"/>
  <c r="H664" i="4" s="1"/>
  <c r="K664" i="4" s="1"/>
  <c r="G663" i="4"/>
  <c r="H663" i="4" s="1"/>
  <c r="K663" i="4" s="1"/>
  <c r="G662" i="4"/>
  <c r="H662" i="4" s="1"/>
  <c r="K662" i="4" s="1"/>
  <c r="G661" i="4"/>
  <c r="H661" i="4" s="1"/>
  <c r="K661" i="4" s="1"/>
  <c r="G660" i="4"/>
  <c r="H660" i="4" s="1"/>
  <c r="K660" i="4" s="1"/>
  <c r="F659" i="4"/>
  <c r="G659" i="4" s="1"/>
  <c r="H659" i="4" s="1"/>
  <c r="K659" i="4" s="1"/>
  <c r="F658" i="4"/>
  <c r="G658" i="4" s="1"/>
  <c r="H658" i="4" s="1"/>
  <c r="K658" i="4" s="1"/>
  <c r="F657" i="4"/>
  <c r="G657" i="4" s="1"/>
  <c r="H657" i="4" s="1"/>
  <c r="K657" i="4" s="1"/>
  <c r="F656" i="4"/>
  <c r="G656" i="4" s="1"/>
  <c r="H656" i="4" s="1"/>
  <c r="K656" i="4" s="1"/>
  <c r="F655" i="4"/>
  <c r="G655" i="4" s="1"/>
  <c r="H655" i="4" s="1"/>
  <c r="K655" i="4" s="1"/>
  <c r="F654" i="4"/>
  <c r="G654" i="4" s="1"/>
  <c r="H654" i="4" s="1"/>
  <c r="K654" i="4" s="1"/>
  <c r="F653" i="4"/>
  <c r="G653" i="4" s="1"/>
  <c r="H653" i="4" s="1"/>
  <c r="K653" i="4" s="1"/>
  <c r="F652" i="4"/>
  <c r="G652" i="4" s="1"/>
  <c r="H652" i="4" s="1"/>
  <c r="K652" i="4" s="1"/>
  <c r="F651" i="4"/>
  <c r="G651" i="4" s="1"/>
  <c r="H651" i="4" s="1"/>
  <c r="K651" i="4" s="1"/>
  <c r="F650" i="4"/>
  <c r="G650" i="4" s="1"/>
  <c r="H650" i="4" s="1"/>
  <c r="K650" i="4" s="1"/>
  <c r="F649" i="4"/>
  <c r="G649" i="4" s="1"/>
  <c r="H649" i="4" s="1"/>
  <c r="K649" i="4" s="1"/>
  <c r="F648" i="4"/>
  <c r="G648" i="4" s="1"/>
  <c r="H648" i="4" s="1"/>
  <c r="K648" i="4" s="1"/>
  <c r="F647" i="4"/>
  <c r="G647" i="4" s="1"/>
  <c r="H647" i="4" s="1"/>
  <c r="K647" i="4" s="1"/>
  <c r="F646" i="4"/>
  <c r="G646" i="4" s="1"/>
  <c r="H646" i="4" s="1"/>
  <c r="K646" i="4" s="1"/>
  <c r="F645" i="4"/>
  <c r="G645" i="4" s="1"/>
  <c r="H645" i="4" s="1"/>
  <c r="K645" i="4" s="1"/>
  <c r="F644" i="4"/>
  <c r="G644" i="4" s="1"/>
  <c r="H644" i="4" s="1"/>
  <c r="K644" i="4" s="1"/>
  <c r="F643" i="4"/>
  <c r="G643" i="4" s="1"/>
  <c r="H643" i="4" s="1"/>
  <c r="K643" i="4" s="1"/>
  <c r="F642" i="4"/>
  <c r="G642" i="4" s="1"/>
  <c r="H642" i="4" s="1"/>
  <c r="K642" i="4" s="1"/>
  <c r="F641" i="4"/>
  <c r="G641" i="4" s="1"/>
  <c r="H641" i="4" s="1"/>
  <c r="K641" i="4" s="1"/>
  <c r="F640" i="4"/>
  <c r="G640" i="4" s="1"/>
  <c r="H640" i="4" s="1"/>
  <c r="K640" i="4" s="1"/>
  <c r="F639" i="4"/>
  <c r="G639" i="4" s="1"/>
  <c r="H639" i="4" s="1"/>
  <c r="K639" i="4" s="1"/>
  <c r="F638" i="4"/>
  <c r="G638" i="4" s="1"/>
  <c r="H638" i="4" s="1"/>
  <c r="K638" i="4" s="1"/>
  <c r="F637" i="4"/>
  <c r="G637" i="4" s="1"/>
  <c r="H637" i="4" s="1"/>
  <c r="K637" i="4" s="1"/>
  <c r="F636" i="4"/>
  <c r="G636" i="4" s="1"/>
  <c r="H636" i="4" s="1"/>
  <c r="K636" i="4" s="1"/>
  <c r="F635" i="4"/>
  <c r="G635" i="4" s="1"/>
  <c r="H635" i="4" s="1"/>
  <c r="K635" i="4" s="1"/>
  <c r="F634" i="4"/>
  <c r="G634" i="4" s="1"/>
  <c r="H634" i="4" s="1"/>
  <c r="K634" i="4" s="1"/>
  <c r="F633" i="4"/>
  <c r="G633" i="4" s="1"/>
  <c r="H633" i="4" s="1"/>
  <c r="K633" i="4" s="1"/>
  <c r="G632" i="4"/>
  <c r="H632" i="4" s="1"/>
  <c r="K632" i="4" s="1"/>
  <c r="F631" i="4"/>
  <c r="G631" i="4" s="1"/>
  <c r="H631" i="4" s="1"/>
  <c r="K631" i="4" s="1"/>
  <c r="F630" i="4"/>
  <c r="G630" i="4" s="1"/>
  <c r="H630" i="4" s="1"/>
  <c r="K630" i="4" s="1"/>
  <c r="F629" i="4"/>
  <c r="G629" i="4" s="1"/>
  <c r="H629" i="4" s="1"/>
  <c r="K629" i="4" s="1"/>
  <c r="F628" i="4"/>
  <c r="G628" i="4" s="1"/>
  <c r="H628" i="4" s="1"/>
  <c r="K628" i="4" s="1"/>
  <c r="F627" i="4"/>
  <c r="G627" i="4" s="1"/>
  <c r="H627" i="4" s="1"/>
  <c r="K627" i="4" s="1"/>
  <c r="F626" i="4"/>
  <c r="G626" i="4" s="1"/>
  <c r="H626" i="4" s="1"/>
  <c r="K626" i="4" s="1"/>
  <c r="F625" i="4"/>
  <c r="G625" i="4" s="1"/>
  <c r="H625" i="4" s="1"/>
  <c r="K625" i="4" s="1"/>
  <c r="F624" i="4"/>
  <c r="G624" i="4" s="1"/>
  <c r="H624" i="4" s="1"/>
  <c r="K624" i="4" s="1"/>
  <c r="F623" i="4"/>
  <c r="G623" i="4" s="1"/>
  <c r="H623" i="4" s="1"/>
  <c r="K623" i="4" s="1"/>
  <c r="F622" i="4"/>
  <c r="G622" i="4" s="1"/>
  <c r="H622" i="4" s="1"/>
  <c r="K622" i="4" s="1"/>
  <c r="F621" i="4"/>
  <c r="G621" i="4" s="1"/>
  <c r="H621" i="4" s="1"/>
  <c r="K621" i="4" s="1"/>
  <c r="F620" i="4"/>
  <c r="G620" i="4" s="1"/>
  <c r="H620" i="4" s="1"/>
  <c r="F619" i="4"/>
  <c r="G619" i="4" s="1"/>
  <c r="H619" i="4" s="1"/>
  <c r="K619" i="4" s="1"/>
  <c r="F618" i="4"/>
  <c r="G618" i="4" s="1"/>
  <c r="H618" i="4" s="1"/>
  <c r="K618" i="4" s="1"/>
  <c r="F617" i="4"/>
  <c r="G617" i="4" s="1"/>
  <c r="H617" i="4" s="1"/>
  <c r="K617" i="4" s="1"/>
  <c r="F616" i="4"/>
  <c r="G616" i="4" s="1"/>
  <c r="H616" i="4" s="1"/>
  <c r="K616" i="4" s="1"/>
  <c r="F615" i="4"/>
  <c r="G615" i="4" s="1"/>
  <c r="H615" i="4" s="1"/>
  <c r="K615" i="4" s="1"/>
  <c r="F614" i="4"/>
  <c r="G614" i="4" s="1"/>
  <c r="H614" i="4" s="1"/>
  <c r="K614" i="4" s="1"/>
  <c r="F613" i="4"/>
  <c r="G613" i="4" s="1"/>
  <c r="H613" i="4" s="1"/>
  <c r="K613" i="4" s="1"/>
  <c r="F612" i="4"/>
  <c r="G612" i="4" s="1"/>
  <c r="H612" i="4" s="1"/>
  <c r="K612" i="4" s="1"/>
  <c r="F611" i="4"/>
  <c r="G611" i="4" s="1"/>
  <c r="H611" i="4" s="1"/>
  <c r="K611" i="4" s="1"/>
  <c r="F610" i="4"/>
  <c r="G610" i="4" s="1"/>
  <c r="H610" i="4" s="1"/>
  <c r="K610" i="4" s="1"/>
  <c r="F609" i="4"/>
  <c r="G609" i="4" s="1"/>
  <c r="H609" i="4" s="1"/>
  <c r="K609" i="4" s="1"/>
  <c r="G608" i="4"/>
  <c r="H608" i="4" s="1"/>
  <c r="K608" i="4" s="1"/>
  <c r="F607" i="4"/>
  <c r="G607" i="4" s="1"/>
  <c r="H607" i="4" s="1"/>
  <c r="K607" i="4" s="1"/>
  <c r="F606" i="4"/>
  <c r="G606" i="4" s="1"/>
  <c r="H606" i="4" s="1"/>
  <c r="K606" i="4" s="1"/>
  <c r="F605" i="4"/>
  <c r="G605" i="4" s="1"/>
  <c r="H605" i="4" s="1"/>
  <c r="K605" i="4" s="1"/>
  <c r="G604" i="4"/>
  <c r="H604" i="4" s="1"/>
  <c r="K604" i="4" s="1"/>
  <c r="F603" i="4"/>
  <c r="G603" i="4" s="1"/>
  <c r="H603" i="4" s="1"/>
  <c r="K603" i="4" s="1"/>
  <c r="F602" i="4"/>
  <c r="G602" i="4" s="1"/>
  <c r="H602" i="4" s="1"/>
  <c r="K602" i="4" s="1"/>
  <c r="F601" i="4"/>
  <c r="G601" i="4" s="1"/>
  <c r="H601" i="4" s="1"/>
  <c r="K601" i="4" s="1"/>
  <c r="F600" i="4"/>
  <c r="G600" i="4" s="1"/>
  <c r="H600" i="4" s="1"/>
  <c r="K600" i="4" s="1"/>
  <c r="F599" i="4"/>
  <c r="G599" i="4" s="1"/>
  <c r="H599" i="4" s="1"/>
  <c r="K599" i="4" s="1"/>
  <c r="F598" i="4"/>
  <c r="G598" i="4" s="1"/>
  <c r="H598" i="4" s="1"/>
  <c r="K598" i="4" s="1"/>
  <c r="F597" i="4"/>
  <c r="G597" i="4" s="1"/>
  <c r="H597" i="4" s="1"/>
  <c r="K597" i="4" s="1"/>
  <c r="F596" i="4"/>
  <c r="G596" i="4" s="1"/>
  <c r="H596" i="4" s="1"/>
  <c r="K596" i="4" s="1"/>
  <c r="F595" i="4"/>
  <c r="G595" i="4" s="1"/>
  <c r="H595" i="4" s="1"/>
  <c r="K595" i="4" s="1"/>
  <c r="F594" i="4"/>
  <c r="G594" i="4" s="1"/>
  <c r="H594" i="4" s="1"/>
  <c r="K594" i="4" s="1"/>
  <c r="F593" i="4"/>
  <c r="G593" i="4" s="1"/>
  <c r="H593" i="4" s="1"/>
  <c r="K593" i="4" s="1"/>
  <c r="F592" i="4"/>
  <c r="G592" i="4" s="1"/>
  <c r="H592" i="4" s="1"/>
  <c r="K592" i="4" s="1"/>
  <c r="F591" i="4"/>
  <c r="G591" i="4" s="1"/>
  <c r="H591" i="4" s="1"/>
  <c r="K591" i="4" s="1"/>
  <c r="F590" i="4"/>
  <c r="G590" i="4" s="1"/>
  <c r="H590" i="4" s="1"/>
  <c r="K590" i="4" s="1"/>
  <c r="F589" i="4"/>
  <c r="G589" i="4" s="1"/>
  <c r="H589" i="4" s="1"/>
  <c r="K589" i="4" s="1"/>
  <c r="F588" i="4"/>
  <c r="G588" i="4" s="1"/>
  <c r="H588" i="4" s="1"/>
  <c r="K588" i="4" s="1"/>
  <c r="F587" i="4"/>
  <c r="G587" i="4" s="1"/>
  <c r="H587" i="4" s="1"/>
  <c r="K587" i="4" s="1"/>
  <c r="F586" i="4"/>
  <c r="G586" i="4" s="1"/>
  <c r="H586" i="4" s="1"/>
  <c r="K586" i="4" s="1"/>
  <c r="F585" i="4"/>
  <c r="G585" i="4" s="1"/>
  <c r="H585" i="4" s="1"/>
  <c r="K585" i="4" s="1"/>
  <c r="F584" i="4"/>
  <c r="G584" i="4" s="1"/>
  <c r="H584" i="4" s="1"/>
  <c r="K584" i="4" s="1"/>
  <c r="F583" i="4"/>
  <c r="G583" i="4" s="1"/>
  <c r="H583" i="4" s="1"/>
  <c r="K583" i="4" s="1"/>
  <c r="F582" i="4"/>
  <c r="G582" i="4" s="1"/>
  <c r="H582" i="4" s="1"/>
  <c r="K582" i="4" s="1"/>
  <c r="F581" i="4"/>
  <c r="G581" i="4" s="1"/>
  <c r="H581" i="4" s="1"/>
  <c r="K581" i="4" s="1"/>
  <c r="F580" i="4"/>
  <c r="G580" i="4" s="1"/>
  <c r="H580" i="4" s="1"/>
  <c r="K580" i="4" s="1"/>
  <c r="F579" i="4"/>
  <c r="G579" i="4" s="1"/>
  <c r="H579" i="4" s="1"/>
  <c r="K579" i="4" s="1"/>
  <c r="F578" i="4"/>
  <c r="G578" i="4" s="1"/>
  <c r="H578" i="4" s="1"/>
  <c r="K578" i="4" s="1"/>
  <c r="F577" i="4"/>
  <c r="G577" i="4" s="1"/>
  <c r="H577" i="4" s="1"/>
  <c r="K577" i="4" s="1"/>
  <c r="G576" i="4"/>
  <c r="H576" i="4" s="1"/>
  <c r="K576" i="4" s="1"/>
  <c r="F517" i="4"/>
  <c r="G517" i="4" s="1"/>
  <c r="H517" i="4" s="1"/>
  <c r="K517" i="4" s="1"/>
  <c r="F516" i="4"/>
  <c r="G516" i="4" s="1"/>
  <c r="H516" i="4" s="1"/>
  <c r="K516" i="4" s="1"/>
  <c r="F515" i="4"/>
  <c r="G515" i="4" s="1"/>
  <c r="H515" i="4" s="1"/>
  <c r="K515" i="4" s="1"/>
  <c r="F514" i="4"/>
  <c r="G514" i="4" s="1"/>
  <c r="H514" i="4" s="1"/>
  <c r="K514" i="4" s="1"/>
  <c r="F513" i="4"/>
  <c r="G513" i="4" s="1"/>
  <c r="H513" i="4" s="1"/>
  <c r="K513" i="4" s="1"/>
  <c r="F512" i="4"/>
  <c r="G512" i="4" s="1"/>
  <c r="H512" i="4" s="1"/>
  <c r="K512" i="4" s="1"/>
  <c r="F511" i="4"/>
  <c r="G511" i="4" s="1"/>
  <c r="H511" i="4" s="1"/>
  <c r="K511" i="4" s="1"/>
  <c r="F510" i="4"/>
  <c r="G510" i="4" s="1"/>
  <c r="H510" i="4" s="1"/>
  <c r="K510" i="4" s="1"/>
  <c r="F509" i="4"/>
  <c r="G509" i="4" s="1"/>
  <c r="H509" i="4" s="1"/>
  <c r="K509" i="4" s="1"/>
  <c r="F508" i="4"/>
  <c r="G508" i="4" s="1"/>
  <c r="H508" i="4" s="1"/>
  <c r="K508" i="4" s="1"/>
  <c r="F507" i="4"/>
  <c r="G507" i="4" s="1"/>
  <c r="H507" i="4" s="1"/>
  <c r="K507" i="4" s="1"/>
  <c r="F506" i="4"/>
  <c r="G506" i="4" s="1"/>
  <c r="H506" i="4" s="1"/>
  <c r="K506" i="4" s="1"/>
  <c r="F505" i="4"/>
  <c r="G505" i="4" s="1"/>
  <c r="H505" i="4" s="1"/>
  <c r="K505" i="4" s="1"/>
  <c r="F504" i="4"/>
  <c r="G504" i="4" s="1"/>
  <c r="H504" i="4" s="1"/>
  <c r="K504" i="4" s="1"/>
  <c r="F503" i="4"/>
  <c r="G503" i="4" s="1"/>
  <c r="H503" i="4" s="1"/>
  <c r="K503" i="4" s="1"/>
  <c r="F502" i="4"/>
  <c r="G502" i="4" s="1"/>
  <c r="H502" i="4" s="1"/>
  <c r="K502" i="4" s="1"/>
  <c r="F501" i="4"/>
  <c r="G501" i="4" s="1"/>
  <c r="H501" i="4" s="1"/>
  <c r="K501" i="4" s="1"/>
  <c r="F500" i="4"/>
  <c r="G500" i="4" s="1"/>
  <c r="H500" i="4" s="1"/>
  <c r="K500" i="4" s="1"/>
  <c r="F499" i="4"/>
  <c r="G499" i="4" s="1"/>
  <c r="H499" i="4" s="1"/>
  <c r="K499" i="4" s="1"/>
  <c r="F498" i="4"/>
  <c r="G498" i="4" s="1"/>
  <c r="H498" i="4" s="1"/>
  <c r="K498" i="4" s="1"/>
  <c r="F497" i="4"/>
  <c r="G497" i="4" s="1"/>
  <c r="H497" i="4" s="1"/>
  <c r="K497" i="4" s="1"/>
  <c r="F496" i="4"/>
  <c r="G496" i="4" s="1"/>
  <c r="H496" i="4" s="1"/>
  <c r="K496" i="4" s="1"/>
  <c r="F495" i="4"/>
  <c r="G495" i="4" s="1"/>
  <c r="H495" i="4" s="1"/>
  <c r="K495" i="4" s="1"/>
  <c r="F494" i="4"/>
  <c r="G494" i="4" s="1"/>
  <c r="H494" i="4" s="1"/>
  <c r="K494" i="4" s="1"/>
  <c r="F493" i="4"/>
  <c r="G493" i="4" s="1"/>
  <c r="H493" i="4" s="1"/>
  <c r="K493" i="4" s="1"/>
  <c r="F492" i="4"/>
  <c r="G492" i="4" s="1"/>
  <c r="H492" i="4" s="1"/>
  <c r="K492" i="4" s="1"/>
  <c r="F491" i="4"/>
  <c r="G491" i="4" s="1"/>
  <c r="H491" i="4" s="1"/>
  <c r="K491" i="4" s="1"/>
  <c r="G490" i="4"/>
  <c r="H490" i="4" s="1"/>
  <c r="K490" i="4" s="1"/>
  <c r="F489" i="4"/>
  <c r="G489" i="4" s="1"/>
  <c r="H489" i="4" s="1"/>
  <c r="K489" i="4" s="1"/>
  <c r="F488" i="4"/>
  <c r="G488" i="4" s="1"/>
  <c r="H488" i="4" s="1"/>
  <c r="K488" i="4" s="1"/>
  <c r="F487" i="4"/>
  <c r="G487" i="4" s="1"/>
  <c r="H487" i="4" s="1"/>
  <c r="K487" i="4" s="1"/>
  <c r="F486" i="4"/>
  <c r="G486" i="4" s="1"/>
  <c r="H486" i="4" s="1"/>
  <c r="K486" i="4" s="1"/>
  <c r="F485" i="4"/>
  <c r="G485" i="4" s="1"/>
  <c r="H485" i="4" s="1"/>
  <c r="F484" i="4"/>
  <c r="G484" i="4" s="1"/>
  <c r="H484" i="4" s="1"/>
  <c r="K484" i="4" s="1"/>
  <c r="F483" i="4"/>
  <c r="G483" i="4" s="1"/>
  <c r="H483" i="4" s="1"/>
  <c r="K483" i="4" s="1"/>
  <c r="F482" i="4"/>
  <c r="G482" i="4" s="1"/>
  <c r="H482" i="4" s="1"/>
  <c r="K482" i="4" s="1"/>
  <c r="F481" i="4"/>
  <c r="G481" i="4" s="1"/>
  <c r="H481" i="4" s="1"/>
  <c r="K481" i="4" s="1"/>
  <c r="F480" i="4"/>
  <c r="G480" i="4" s="1"/>
  <c r="H480" i="4" s="1"/>
  <c r="K480" i="4" s="1"/>
  <c r="F479" i="4"/>
  <c r="G479" i="4" s="1"/>
  <c r="H479" i="4" s="1"/>
  <c r="F478" i="4"/>
  <c r="G478" i="4" s="1"/>
  <c r="H478" i="4" s="1"/>
  <c r="K478" i="4" s="1"/>
  <c r="F477" i="4"/>
  <c r="G477" i="4" s="1"/>
  <c r="H477" i="4" s="1"/>
  <c r="K477" i="4" s="1"/>
  <c r="F476" i="4"/>
  <c r="G476" i="4" s="1"/>
  <c r="H476" i="4" s="1"/>
  <c r="K476" i="4" s="1"/>
  <c r="F475" i="4"/>
  <c r="G475" i="4" s="1"/>
  <c r="H475" i="4" s="1"/>
  <c r="K475" i="4" s="1"/>
  <c r="F474" i="4"/>
  <c r="G474" i="4" s="1"/>
  <c r="H474" i="4" s="1"/>
  <c r="K474" i="4" s="1"/>
  <c r="F473" i="4"/>
  <c r="G473" i="4" s="1"/>
  <c r="H473" i="4" s="1"/>
  <c r="K473" i="4" s="1"/>
  <c r="F472" i="4"/>
  <c r="G472" i="4" s="1"/>
  <c r="H472" i="4" s="1"/>
  <c r="K472" i="4" s="1"/>
  <c r="F471" i="4"/>
  <c r="G471" i="4" s="1"/>
  <c r="H471" i="4" s="1"/>
  <c r="K471" i="4" s="1"/>
  <c r="F470" i="4"/>
  <c r="G470" i="4" s="1"/>
  <c r="H470" i="4" s="1"/>
  <c r="K470" i="4" s="1"/>
  <c r="F469" i="4"/>
  <c r="G469" i="4" s="1"/>
  <c r="H469" i="4" s="1"/>
  <c r="K469" i="4" s="1"/>
  <c r="F468" i="4"/>
  <c r="G468" i="4" s="1"/>
  <c r="H468" i="4" s="1"/>
  <c r="K468" i="4" s="1"/>
  <c r="F467" i="4"/>
  <c r="G467" i="4" s="1"/>
  <c r="H467" i="4" s="1"/>
  <c r="K467" i="4" s="1"/>
  <c r="F466" i="4"/>
  <c r="G466" i="4" s="1"/>
  <c r="H466" i="4" s="1"/>
  <c r="K466" i="4" s="1"/>
  <c r="F465" i="4"/>
  <c r="G465" i="4" s="1"/>
  <c r="H465" i="4" s="1"/>
  <c r="K465" i="4" s="1"/>
  <c r="F464" i="4"/>
  <c r="G464" i="4" s="1"/>
  <c r="H464" i="4" s="1"/>
  <c r="K464" i="4" s="1"/>
  <c r="F463" i="4"/>
  <c r="G463" i="4" s="1"/>
  <c r="H463" i="4" s="1"/>
  <c r="K463" i="4" s="1"/>
  <c r="G462" i="4"/>
  <c r="H462" i="4" s="1"/>
  <c r="K462" i="4" s="1"/>
  <c r="F461" i="4"/>
  <c r="G461" i="4" s="1"/>
  <c r="H461" i="4" s="1"/>
  <c r="K461" i="4" s="1"/>
  <c r="F460" i="4"/>
  <c r="G460" i="4" s="1"/>
  <c r="H460" i="4" s="1"/>
  <c r="K460" i="4" s="1"/>
  <c r="F459" i="4"/>
  <c r="G459" i="4" s="1"/>
  <c r="H459" i="4" s="1"/>
  <c r="K459" i="4" s="1"/>
  <c r="F458" i="4"/>
  <c r="G458" i="4" s="1"/>
  <c r="H458" i="4" s="1"/>
  <c r="K458" i="4" s="1"/>
  <c r="F457" i="4"/>
  <c r="G457" i="4" s="1"/>
  <c r="H457" i="4" s="1"/>
  <c r="K457" i="4" s="1"/>
  <c r="F456" i="4"/>
  <c r="G456" i="4" s="1"/>
  <c r="H456" i="4" s="1"/>
  <c r="K456" i="4" s="1"/>
  <c r="F455" i="4"/>
  <c r="G455" i="4" s="1"/>
  <c r="H455" i="4" s="1"/>
  <c r="K455" i="4" s="1"/>
  <c r="F454" i="4"/>
  <c r="G454" i="4" s="1"/>
  <c r="H454" i="4" s="1"/>
  <c r="K454" i="4" s="1"/>
  <c r="F453" i="4"/>
  <c r="G453" i="4" s="1"/>
  <c r="H453" i="4" s="1"/>
  <c r="K453" i="4" s="1"/>
  <c r="F452" i="4"/>
  <c r="G452" i="4" s="1"/>
  <c r="H452" i="4" s="1"/>
  <c r="K452" i="4" s="1"/>
  <c r="F451" i="4"/>
  <c r="G451" i="4" s="1"/>
  <c r="H451" i="4" s="1"/>
  <c r="K451" i="4" s="1"/>
  <c r="F450" i="4"/>
  <c r="G450" i="4" s="1"/>
  <c r="H450" i="4" s="1"/>
  <c r="K450" i="4" s="1"/>
  <c r="F449" i="4"/>
  <c r="G449" i="4" s="1"/>
  <c r="H449" i="4" s="1"/>
  <c r="K449" i="4" s="1"/>
  <c r="F448" i="4"/>
  <c r="G448" i="4" s="1"/>
  <c r="H448" i="4" s="1"/>
  <c r="K448" i="4" s="1"/>
  <c r="F447" i="4"/>
  <c r="G447" i="4" s="1"/>
  <c r="H447" i="4" s="1"/>
  <c r="K447" i="4" s="1"/>
  <c r="F446" i="4"/>
  <c r="G446" i="4" s="1"/>
  <c r="H446" i="4" s="1"/>
  <c r="K446" i="4" s="1"/>
  <c r="F445" i="4"/>
  <c r="G445" i="4" s="1"/>
  <c r="H445" i="4" s="1"/>
  <c r="K445" i="4" s="1"/>
  <c r="F444" i="4"/>
  <c r="G444" i="4" s="1"/>
  <c r="H444" i="4" s="1"/>
  <c r="K444" i="4" s="1"/>
  <c r="F443" i="4"/>
  <c r="G443" i="4" s="1"/>
  <c r="H443" i="4" s="1"/>
  <c r="K443" i="4" s="1"/>
  <c r="F442" i="4"/>
  <c r="G442" i="4" s="1"/>
  <c r="H442" i="4" s="1"/>
  <c r="K442" i="4" s="1"/>
  <c r="F441" i="4"/>
  <c r="G441" i="4" s="1"/>
  <c r="H441" i="4" s="1"/>
  <c r="K441" i="4" s="1"/>
  <c r="F440" i="4"/>
  <c r="G440" i="4" s="1"/>
  <c r="H440" i="4" s="1"/>
  <c r="K440" i="4" s="1"/>
  <c r="F439" i="4"/>
  <c r="G439" i="4" s="1"/>
  <c r="H439" i="4" s="1"/>
  <c r="K439" i="4" s="1"/>
  <c r="F438" i="4"/>
  <c r="G438" i="4" s="1"/>
  <c r="H438" i="4" s="1"/>
  <c r="K438" i="4" s="1"/>
  <c r="F437" i="4"/>
  <c r="G437" i="4" s="1"/>
  <c r="H437" i="4" s="1"/>
  <c r="K437" i="4" s="1"/>
  <c r="F436" i="4"/>
  <c r="G436" i="4" s="1"/>
  <c r="H436" i="4" s="1"/>
  <c r="K436" i="4" s="1"/>
  <c r="F435" i="4"/>
  <c r="G435" i="4" s="1"/>
  <c r="H435" i="4" s="1"/>
  <c r="K435" i="4" s="1"/>
  <c r="G434" i="4"/>
  <c r="H434" i="4" s="1"/>
  <c r="K434" i="4" s="1"/>
  <c r="F368" i="4"/>
  <c r="G368" i="4" s="1"/>
  <c r="H368" i="4" s="1"/>
  <c r="F367" i="4"/>
  <c r="G367" i="4" s="1"/>
  <c r="H367" i="4" s="1"/>
  <c r="K367" i="4" s="1"/>
  <c r="F366" i="4"/>
  <c r="G366" i="4" s="1"/>
  <c r="H366" i="4" s="1"/>
  <c r="K366" i="4" s="1"/>
  <c r="F365" i="4"/>
  <c r="G365" i="4" s="1"/>
  <c r="H365" i="4" s="1"/>
  <c r="K365" i="4" s="1"/>
  <c r="F364" i="4"/>
  <c r="G364" i="4" s="1"/>
  <c r="H364" i="4" s="1"/>
  <c r="K364" i="4" s="1"/>
  <c r="F363" i="4"/>
  <c r="G363" i="4" s="1"/>
  <c r="H363" i="4" s="1"/>
  <c r="F362" i="4"/>
  <c r="G362" i="4" s="1"/>
  <c r="H362" i="4" s="1"/>
  <c r="K362" i="4" s="1"/>
  <c r="F361" i="4"/>
  <c r="G361" i="4" s="1"/>
  <c r="H361" i="4" s="1"/>
  <c r="F360" i="4"/>
  <c r="G360" i="4" s="1"/>
  <c r="H360" i="4" s="1"/>
  <c r="K360" i="4" s="1"/>
  <c r="F359" i="4"/>
  <c r="G359" i="4" s="1"/>
  <c r="H359" i="4" s="1"/>
  <c r="K359" i="4" s="1"/>
  <c r="F358" i="4"/>
  <c r="G358" i="4" s="1"/>
  <c r="H358" i="4" s="1"/>
  <c r="K358" i="4" s="1"/>
  <c r="F357" i="4"/>
  <c r="G357" i="4" s="1"/>
  <c r="H357" i="4" s="1"/>
  <c r="K357" i="4" s="1"/>
  <c r="G356" i="4"/>
  <c r="H356" i="4" s="1"/>
  <c r="K356" i="4" s="1"/>
  <c r="F355" i="4"/>
  <c r="G355" i="4" s="1"/>
  <c r="H355" i="4" s="1"/>
  <c r="K355" i="4" s="1"/>
  <c r="F354" i="4"/>
  <c r="G354" i="4" s="1"/>
  <c r="H354" i="4" s="1"/>
  <c r="K354" i="4" s="1"/>
  <c r="F353" i="4"/>
  <c r="G353" i="4" s="1"/>
  <c r="H353" i="4" s="1"/>
  <c r="K353" i="4" s="1"/>
  <c r="F352" i="4"/>
  <c r="G352" i="4" s="1"/>
  <c r="H352" i="4" s="1"/>
  <c r="K352" i="4" s="1"/>
  <c r="F351" i="4"/>
  <c r="G351" i="4" s="1"/>
  <c r="H351" i="4" s="1"/>
  <c r="K351" i="4" s="1"/>
  <c r="G350" i="4"/>
  <c r="H350" i="4" s="1"/>
  <c r="K350" i="4" s="1"/>
  <c r="F349" i="4"/>
  <c r="G349" i="4" s="1"/>
  <c r="H349" i="4" s="1"/>
  <c r="K349" i="4" s="1"/>
  <c r="F348" i="4"/>
  <c r="G348" i="4" s="1"/>
  <c r="H348" i="4" s="1"/>
  <c r="K348" i="4" s="1"/>
  <c r="F347" i="4"/>
  <c r="G347" i="4" s="1"/>
  <c r="H347" i="4" s="1"/>
  <c r="K347" i="4" s="1"/>
  <c r="G346" i="4"/>
  <c r="H346" i="4" s="1"/>
  <c r="K346" i="4" s="1"/>
  <c r="F345" i="4"/>
  <c r="G345" i="4" s="1"/>
  <c r="H345" i="4" s="1"/>
  <c r="K345" i="4" s="1"/>
  <c r="F344" i="4"/>
  <c r="G344" i="4" s="1"/>
  <c r="H344" i="4" s="1"/>
  <c r="K344" i="4" s="1"/>
  <c r="F343" i="4"/>
  <c r="G343" i="4" s="1"/>
  <c r="H343" i="4" s="1"/>
  <c r="K343" i="4" s="1"/>
  <c r="F342" i="4"/>
  <c r="G342" i="4" s="1"/>
  <c r="H342" i="4" s="1"/>
  <c r="K342" i="4" s="1"/>
  <c r="F341" i="4"/>
  <c r="G341" i="4" s="1"/>
  <c r="H341" i="4" s="1"/>
  <c r="K341" i="4" s="1"/>
  <c r="F340" i="4"/>
  <c r="G340" i="4" s="1"/>
  <c r="H340" i="4" s="1"/>
  <c r="K340" i="4" s="1"/>
  <c r="F339" i="4"/>
  <c r="G339" i="4" s="1"/>
  <c r="H339" i="4" s="1"/>
  <c r="K339" i="4" s="1"/>
  <c r="F338" i="4"/>
  <c r="G338" i="4" s="1"/>
  <c r="H338" i="4" s="1"/>
  <c r="K338" i="4" s="1"/>
  <c r="F337" i="4"/>
  <c r="G337" i="4" s="1"/>
  <c r="H337" i="4" s="1"/>
  <c r="K337" i="4" s="1"/>
  <c r="F336" i="4"/>
  <c r="G336" i="4" s="1"/>
  <c r="H336" i="4" s="1"/>
  <c r="K336" i="4" s="1"/>
  <c r="F335" i="4"/>
  <c r="G335" i="4" s="1"/>
  <c r="H335" i="4" s="1"/>
  <c r="K335" i="4" s="1"/>
  <c r="F334" i="4"/>
  <c r="G334" i="4" s="1"/>
  <c r="H334" i="4" s="1"/>
  <c r="F333" i="4"/>
  <c r="G333" i="4" s="1"/>
  <c r="H333" i="4" s="1"/>
  <c r="F332" i="4"/>
  <c r="G332" i="4" s="1"/>
  <c r="H332" i="4" s="1"/>
  <c r="K332" i="4" s="1"/>
  <c r="F331" i="4"/>
  <c r="G331" i="4" s="1"/>
  <c r="H331" i="4" s="1"/>
  <c r="K331" i="4" s="1"/>
  <c r="F330" i="4"/>
  <c r="G330" i="4" s="1"/>
  <c r="H330" i="4" s="1"/>
  <c r="K330" i="4" s="1"/>
  <c r="F329" i="4"/>
  <c r="G329" i="4" s="1"/>
  <c r="H329" i="4" s="1"/>
  <c r="K329" i="4" s="1"/>
  <c r="F328" i="4"/>
  <c r="G328" i="4" s="1"/>
  <c r="H328" i="4" s="1"/>
  <c r="K328" i="4" s="1"/>
  <c r="F327" i="4"/>
  <c r="G327" i="4" s="1"/>
  <c r="H327" i="4" s="1"/>
  <c r="K327" i="4" s="1"/>
  <c r="F326" i="4"/>
  <c r="G326" i="4" s="1"/>
  <c r="H326" i="4" s="1"/>
  <c r="K326" i="4" s="1"/>
  <c r="F325" i="4"/>
  <c r="G325" i="4" s="1"/>
  <c r="H325" i="4" s="1"/>
  <c r="K325" i="4" s="1"/>
  <c r="F324" i="4"/>
  <c r="G324" i="4" s="1"/>
  <c r="H324" i="4" s="1"/>
  <c r="K324" i="4" s="1"/>
  <c r="F323" i="4"/>
  <c r="G323" i="4" s="1"/>
  <c r="H323" i="4" s="1"/>
  <c r="K323" i="4" s="1"/>
  <c r="F322" i="4"/>
  <c r="G322" i="4" s="1"/>
  <c r="H322" i="4" s="1"/>
  <c r="K322" i="4" s="1"/>
  <c r="F321" i="4"/>
  <c r="G321" i="4" s="1"/>
  <c r="H321" i="4" s="1"/>
  <c r="K321" i="4" s="1"/>
  <c r="F320" i="4"/>
  <c r="G320" i="4" s="1"/>
  <c r="H320" i="4" s="1"/>
  <c r="K320" i="4" s="1"/>
  <c r="F319" i="4"/>
  <c r="G319" i="4" s="1"/>
  <c r="H319" i="4" s="1"/>
  <c r="K319" i="4" s="1"/>
  <c r="G318" i="4"/>
  <c r="H318" i="4" s="1"/>
  <c r="K318" i="4" s="1"/>
  <c r="F310" i="4"/>
  <c r="G310" i="4" s="1"/>
  <c r="H310" i="4" s="1"/>
  <c r="K310" i="4" s="1"/>
  <c r="F309" i="4"/>
  <c r="G309" i="4" s="1"/>
  <c r="H309" i="4" s="1"/>
  <c r="K309" i="4" s="1"/>
  <c r="F308" i="4"/>
  <c r="G308" i="4" s="1"/>
  <c r="H308" i="4" s="1"/>
  <c r="K308" i="4" s="1"/>
  <c r="F307" i="4"/>
  <c r="G307" i="4" s="1"/>
  <c r="H307" i="4" s="1"/>
  <c r="F306" i="4"/>
  <c r="G306" i="4" s="1"/>
  <c r="H306" i="4" s="1"/>
  <c r="K306" i="4" s="1"/>
  <c r="F305" i="4"/>
  <c r="G305" i="4" s="1"/>
  <c r="H305" i="4" s="1"/>
  <c r="K305" i="4" s="1"/>
  <c r="F304" i="4"/>
  <c r="G304" i="4" s="1"/>
  <c r="H304" i="4" s="1"/>
  <c r="K304" i="4" s="1"/>
  <c r="F303" i="4"/>
  <c r="G303" i="4" s="1"/>
  <c r="H303" i="4" s="1"/>
  <c r="K303" i="4" s="1"/>
  <c r="F302" i="4"/>
  <c r="G302" i="4" s="1"/>
  <c r="H302" i="4" s="1"/>
  <c r="K302" i="4" s="1"/>
  <c r="F301" i="4"/>
  <c r="G301" i="4" s="1"/>
  <c r="H301" i="4" s="1"/>
  <c r="K301" i="4" s="1"/>
  <c r="F300" i="4"/>
  <c r="G300" i="4" s="1"/>
  <c r="H300" i="4" s="1"/>
  <c r="K300" i="4" s="1"/>
  <c r="F299" i="4"/>
  <c r="G299" i="4" s="1"/>
  <c r="H299" i="4" s="1"/>
  <c r="K299" i="4" s="1"/>
  <c r="F298" i="4"/>
  <c r="G298" i="4" s="1"/>
  <c r="H298" i="4" s="1"/>
  <c r="K298" i="4" s="1"/>
  <c r="F297" i="4"/>
  <c r="G297" i="4" s="1"/>
  <c r="H297" i="4" s="1"/>
  <c r="K297" i="4" s="1"/>
  <c r="F296" i="4"/>
  <c r="G296" i="4" s="1"/>
  <c r="H296" i="4" s="1"/>
  <c r="K296" i="4" s="1"/>
  <c r="F295" i="4"/>
  <c r="G295" i="4" s="1"/>
  <c r="H295" i="4" s="1"/>
  <c r="K295" i="4" s="1"/>
  <c r="F294" i="4"/>
  <c r="G294" i="4" s="1"/>
  <c r="H294" i="4" s="1"/>
  <c r="K294" i="4" s="1"/>
  <c r="F293" i="4"/>
  <c r="G293" i="4" s="1"/>
  <c r="H293" i="4" s="1"/>
  <c r="K293" i="4" s="1"/>
  <c r="F292" i="4"/>
  <c r="G292" i="4" s="1"/>
  <c r="H292" i="4" s="1"/>
  <c r="K292" i="4" s="1"/>
  <c r="F291" i="4"/>
  <c r="G291" i="4" s="1"/>
  <c r="H291" i="4" s="1"/>
  <c r="K291" i="4" s="1"/>
  <c r="G290" i="4"/>
  <c r="H290" i="4" s="1"/>
  <c r="K290" i="4" s="1"/>
  <c r="F228" i="4"/>
  <c r="G228" i="4" s="1"/>
  <c r="H228" i="4" s="1"/>
  <c r="K228" i="4" s="1"/>
  <c r="F227" i="4"/>
  <c r="G227" i="4" s="1"/>
  <c r="H227" i="4" s="1"/>
  <c r="K227" i="4" s="1"/>
  <c r="F226" i="4"/>
  <c r="G226" i="4" s="1"/>
  <c r="H226" i="4" s="1"/>
  <c r="K226" i="4" s="1"/>
  <c r="F225" i="4"/>
  <c r="G225" i="4" s="1"/>
  <c r="H225" i="4" s="1"/>
  <c r="K225" i="4" s="1"/>
  <c r="F224" i="4"/>
  <c r="G224" i="4" s="1"/>
  <c r="H224" i="4" s="1"/>
  <c r="K224" i="4" s="1"/>
  <c r="F223" i="4"/>
  <c r="G223" i="4" s="1"/>
  <c r="H223" i="4" s="1"/>
  <c r="K223" i="4" s="1"/>
  <c r="F222" i="4"/>
  <c r="G222" i="4" s="1"/>
  <c r="H222" i="4" s="1"/>
  <c r="K222" i="4" s="1"/>
  <c r="F221" i="4"/>
  <c r="G221" i="4" s="1"/>
  <c r="H221" i="4" s="1"/>
  <c r="K221" i="4" s="1"/>
  <c r="F220" i="4"/>
  <c r="G220" i="4" s="1"/>
  <c r="H220" i="4" s="1"/>
  <c r="K220" i="4" s="1"/>
  <c r="F219" i="4"/>
  <c r="G219" i="4" s="1"/>
  <c r="H219" i="4" s="1"/>
  <c r="K219" i="4" s="1"/>
  <c r="F218" i="4"/>
  <c r="G218" i="4" s="1"/>
  <c r="H218" i="4" s="1"/>
  <c r="K218" i="4" s="1"/>
  <c r="F217" i="4"/>
  <c r="G217" i="4" s="1"/>
  <c r="H217" i="4" s="1"/>
  <c r="K217" i="4" s="1"/>
  <c r="F216" i="4"/>
  <c r="G216" i="4" s="1"/>
  <c r="H216" i="4" s="1"/>
  <c r="K216" i="4" s="1"/>
  <c r="F215" i="4"/>
  <c r="G215" i="4" s="1"/>
  <c r="H215" i="4" s="1"/>
  <c r="K215" i="4" s="1"/>
  <c r="F214" i="4"/>
  <c r="G214" i="4" s="1"/>
  <c r="H214" i="4" s="1"/>
  <c r="K214" i="4" s="1"/>
  <c r="F213" i="4"/>
  <c r="G213" i="4" s="1"/>
  <c r="H213" i="4" s="1"/>
  <c r="K213" i="4" s="1"/>
  <c r="F212" i="4"/>
  <c r="G212" i="4" s="1"/>
  <c r="H212" i="4" s="1"/>
  <c r="K212" i="4" s="1"/>
  <c r="F211" i="4"/>
  <c r="G211" i="4" s="1"/>
  <c r="H211" i="4" s="1"/>
  <c r="K211" i="4" s="1"/>
  <c r="F210" i="4"/>
  <c r="G210" i="4" s="1"/>
  <c r="H210" i="4" s="1"/>
  <c r="K210" i="4" s="1"/>
  <c r="F209" i="4"/>
  <c r="G209" i="4" s="1"/>
  <c r="H209" i="4" s="1"/>
  <c r="K209" i="4" s="1"/>
  <c r="F208" i="4"/>
  <c r="G208" i="4" s="1"/>
  <c r="H208" i="4" s="1"/>
  <c r="K208" i="4" s="1"/>
  <c r="F207" i="4"/>
  <c r="G207" i="4" s="1"/>
  <c r="H207" i="4" s="1"/>
  <c r="K207" i="4" s="1"/>
  <c r="F206" i="4"/>
  <c r="G206" i="4" s="1"/>
  <c r="H206" i="4" s="1"/>
  <c r="K206" i="4" s="1"/>
  <c r="F205" i="4"/>
  <c r="G205" i="4" s="1"/>
  <c r="H205" i="4" s="1"/>
  <c r="K205" i="4" s="1"/>
  <c r="F204" i="4"/>
  <c r="G204" i="4" s="1"/>
  <c r="H204" i="4" s="1"/>
  <c r="K204" i="4" s="1"/>
  <c r="F203" i="4"/>
  <c r="G203" i="4" s="1"/>
  <c r="H203" i="4" s="1"/>
  <c r="K203" i="4" s="1"/>
  <c r="F202" i="4"/>
  <c r="G202" i="4" s="1"/>
  <c r="H202" i="4" s="1"/>
  <c r="K202" i="4" s="1"/>
  <c r="G201" i="4"/>
  <c r="H201" i="4" s="1"/>
  <c r="K201" i="4" s="1"/>
  <c r="F200" i="4"/>
  <c r="G200" i="4" s="1"/>
  <c r="H200" i="4" s="1"/>
  <c r="K200" i="4" s="1"/>
  <c r="F199" i="4"/>
  <c r="G199" i="4" s="1"/>
  <c r="H199" i="4" s="1"/>
  <c r="K199" i="4" s="1"/>
  <c r="F198" i="4"/>
  <c r="G198" i="4" s="1"/>
  <c r="H198" i="4" s="1"/>
  <c r="K198" i="4" s="1"/>
  <c r="F197" i="4"/>
  <c r="G197" i="4" s="1"/>
  <c r="H197" i="4" s="1"/>
  <c r="K197" i="4" s="1"/>
  <c r="F196" i="4"/>
  <c r="G196" i="4" s="1"/>
  <c r="H196" i="4" s="1"/>
  <c r="K196" i="4" s="1"/>
  <c r="F195" i="4"/>
  <c r="G195" i="4" s="1"/>
  <c r="H195" i="4" s="1"/>
  <c r="K195" i="4" s="1"/>
  <c r="F194" i="4"/>
  <c r="G194" i="4" s="1"/>
  <c r="H194" i="4" s="1"/>
  <c r="K194" i="4" s="1"/>
  <c r="F193" i="4"/>
  <c r="G193" i="4" s="1"/>
  <c r="H193" i="4" s="1"/>
  <c r="K193" i="4" s="1"/>
  <c r="F192" i="4"/>
  <c r="G192" i="4" s="1"/>
  <c r="H192" i="4" s="1"/>
  <c r="K192" i="4" s="1"/>
  <c r="F191" i="4"/>
  <c r="G191" i="4" s="1"/>
  <c r="H191" i="4" s="1"/>
  <c r="K191" i="4" s="1"/>
  <c r="F190" i="4"/>
  <c r="G190" i="4" s="1"/>
  <c r="H190" i="4" s="1"/>
  <c r="K190" i="4" s="1"/>
  <c r="F189" i="4"/>
  <c r="G189" i="4" s="1"/>
  <c r="H189" i="4" s="1"/>
  <c r="K189" i="4" s="1"/>
  <c r="F188" i="4"/>
  <c r="G188" i="4" s="1"/>
  <c r="H188" i="4" s="1"/>
  <c r="K188" i="4" s="1"/>
  <c r="F187" i="4"/>
  <c r="G187" i="4" s="1"/>
  <c r="H187" i="4" s="1"/>
  <c r="K187" i="4" s="1"/>
  <c r="F186" i="4"/>
  <c r="G186" i="4" s="1"/>
  <c r="H186" i="4" s="1"/>
  <c r="K186" i="4" s="1"/>
  <c r="F185" i="4"/>
  <c r="G185" i="4" s="1"/>
  <c r="H185" i="4" s="1"/>
  <c r="K185" i="4" s="1"/>
  <c r="F184" i="4"/>
  <c r="G184" i="4" s="1"/>
  <c r="H184" i="4" s="1"/>
  <c r="K184" i="4" s="1"/>
  <c r="F183" i="4"/>
  <c r="G183" i="4" s="1"/>
  <c r="H183" i="4" s="1"/>
  <c r="K183" i="4" s="1"/>
  <c r="F182" i="4"/>
  <c r="G182" i="4" s="1"/>
  <c r="H182" i="4" s="1"/>
  <c r="K182" i="4" s="1"/>
  <c r="F181" i="4"/>
  <c r="G181" i="4" s="1"/>
  <c r="H181" i="4" s="1"/>
  <c r="K181" i="4" s="1"/>
  <c r="F180" i="4"/>
  <c r="G180" i="4" s="1"/>
  <c r="H180" i="4" s="1"/>
  <c r="K180" i="4" s="1"/>
  <c r="F179" i="4"/>
  <c r="G179" i="4" s="1"/>
  <c r="H179" i="4" s="1"/>
  <c r="K179" i="4" s="1"/>
  <c r="F178" i="4"/>
  <c r="G178" i="4" s="1"/>
  <c r="H178" i="4" s="1"/>
  <c r="K178" i="4" s="1"/>
  <c r="F177" i="4"/>
  <c r="G177" i="4" s="1"/>
  <c r="H177" i="4" s="1"/>
  <c r="K177" i="4" s="1"/>
  <c r="F176" i="4"/>
  <c r="G176" i="4" s="1"/>
  <c r="H176" i="4" s="1"/>
  <c r="K176" i="4" s="1"/>
  <c r="F175" i="4"/>
  <c r="G175" i="4" s="1"/>
  <c r="H175" i="4" s="1"/>
  <c r="K175" i="4" s="1"/>
  <c r="F174" i="4"/>
  <c r="G174" i="4" s="1"/>
  <c r="H174" i="4" s="1"/>
  <c r="K174" i="4" s="1"/>
  <c r="G173" i="4"/>
  <c r="H173" i="4" s="1"/>
  <c r="K173" i="4" s="1"/>
  <c r="F172" i="4"/>
  <c r="G172" i="4" s="1"/>
  <c r="H172" i="4" s="1"/>
  <c r="K172" i="4" s="1"/>
  <c r="F171" i="4"/>
  <c r="G171" i="4" s="1"/>
  <c r="H171" i="4" s="1"/>
  <c r="K171" i="4" s="1"/>
  <c r="F170" i="4"/>
  <c r="G170" i="4" s="1"/>
  <c r="H170" i="4" s="1"/>
  <c r="K170" i="4" s="1"/>
  <c r="F169" i="4"/>
  <c r="G169" i="4" s="1"/>
  <c r="H169" i="4" s="1"/>
  <c r="K169" i="4" s="1"/>
  <c r="F168" i="4"/>
  <c r="G168" i="4" s="1"/>
  <c r="H168" i="4" s="1"/>
  <c r="K168" i="4" s="1"/>
  <c r="F167" i="4"/>
  <c r="G167" i="4" s="1"/>
  <c r="H167" i="4" s="1"/>
  <c r="K167" i="4" s="1"/>
  <c r="F166" i="4"/>
  <c r="G166" i="4" s="1"/>
  <c r="H166" i="4" s="1"/>
  <c r="K166" i="4" s="1"/>
  <c r="F165" i="4"/>
  <c r="G165" i="4" s="1"/>
  <c r="H165" i="4" s="1"/>
  <c r="K165" i="4" s="1"/>
  <c r="F164" i="4"/>
  <c r="G164" i="4" s="1"/>
  <c r="H164" i="4" s="1"/>
  <c r="K164" i="4" s="1"/>
  <c r="F163" i="4"/>
  <c r="G163" i="4" s="1"/>
  <c r="H163" i="4" s="1"/>
  <c r="K163" i="4" s="1"/>
  <c r="F162" i="4"/>
  <c r="G162" i="4" s="1"/>
  <c r="H162" i="4" s="1"/>
  <c r="K162" i="4" s="1"/>
  <c r="F161" i="4"/>
  <c r="G161" i="4" s="1"/>
  <c r="H161" i="4" s="1"/>
  <c r="K161" i="4" s="1"/>
  <c r="F160" i="4"/>
  <c r="G160" i="4" s="1"/>
  <c r="H160" i="4" s="1"/>
  <c r="K160" i="4" s="1"/>
  <c r="F159" i="4"/>
  <c r="G159" i="4" s="1"/>
  <c r="H159" i="4" s="1"/>
  <c r="K159" i="4" s="1"/>
  <c r="F158" i="4"/>
  <c r="G158" i="4" s="1"/>
  <c r="H158" i="4" s="1"/>
  <c r="K158" i="4" s="1"/>
  <c r="F157" i="4"/>
  <c r="G157" i="4" s="1"/>
  <c r="H157" i="4" s="1"/>
  <c r="K157" i="4" s="1"/>
  <c r="F156" i="4"/>
  <c r="G156" i="4" s="1"/>
  <c r="H156" i="4" s="1"/>
  <c r="K156" i="4" s="1"/>
  <c r="F155" i="4"/>
  <c r="G155" i="4" s="1"/>
  <c r="H155" i="4" s="1"/>
  <c r="K155" i="4" s="1"/>
  <c r="F154" i="4"/>
  <c r="G154" i="4" s="1"/>
  <c r="H154" i="4" s="1"/>
  <c r="K154" i="4" s="1"/>
  <c r="F153" i="4"/>
  <c r="G153" i="4" s="1"/>
  <c r="H153" i="4" s="1"/>
  <c r="K153" i="4" s="1"/>
  <c r="F152" i="4"/>
  <c r="G152" i="4" s="1"/>
  <c r="H152" i="4" s="1"/>
  <c r="K152" i="4" s="1"/>
  <c r="F151" i="4"/>
  <c r="G151" i="4" s="1"/>
  <c r="H151" i="4" s="1"/>
  <c r="K151" i="4" s="1"/>
  <c r="F150" i="4"/>
  <c r="G150" i="4" s="1"/>
  <c r="H150" i="4" s="1"/>
  <c r="K150" i="4" s="1"/>
  <c r="F149" i="4"/>
  <c r="G149" i="4" s="1"/>
  <c r="H149" i="4" s="1"/>
  <c r="K149" i="4" s="1"/>
  <c r="F148" i="4"/>
  <c r="G148" i="4" s="1"/>
  <c r="H148" i="4" s="1"/>
  <c r="K148" i="4" s="1"/>
  <c r="F147" i="4"/>
  <c r="G147" i="4" s="1"/>
  <c r="H147" i="4" s="1"/>
  <c r="K147" i="4" s="1"/>
  <c r="F85" i="4"/>
  <c r="G85" i="4" s="1"/>
  <c r="H85" i="4" s="1"/>
  <c r="K85" i="4" s="1"/>
  <c r="F84" i="4"/>
  <c r="G84" i="4" s="1"/>
  <c r="H84" i="4" s="1"/>
  <c r="K84" i="4" s="1"/>
  <c r="F83" i="4"/>
  <c r="G83" i="4" s="1"/>
  <c r="H83" i="4" s="1"/>
  <c r="K83" i="4" s="1"/>
  <c r="F82" i="4"/>
  <c r="G82" i="4" s="1"/>
  <c r="H82" i="4" s="1"/>
  <c r="K82" i="4" s="1"/>
  <c r="F81" i="4"/>
  <c r="G81" i="4" s="1"/>
  <c r="H81" i="4" s="1"/>
  <c r="K81" i="4" s="1"/>
  <c r="F80" i="4"/>
  <c r="G80" i="4" s="1"/>
  <c r="H80" i="4" s="1"/>
  <c r="K80" i="4" s="1"/>
  <c r="F79" i="4"/>
  <c r="G79" i="4" s="1"/>
  <c r="H79" i="4" s="1"/>
  <c r="K79" i="4" s="1"/>
  <c r="F78" i="4"/>
  <c r="G78" i="4" s="1"/>
  <c r="H78" i="4" s="1"/>
  <c r="K78" i="4" s="1"/>
  <c r="F77" i="4"/>
  <c r="G77" i="4" s="1"/>
  <c r="H77" i="4" s="1"/>
  <c r="K77" i="4" s="1"/>
  <c r="F76" i="4"/>
  <c r="G76" i="4" s="1"/>
  <c r="H76" i="4" s="1"/>
  <c r="K76" i="4" s="1"/>
  <c r="F75" i="4"/>
  <c r="G75" i="4" s="1"/>
  <c r="H75" i="4" s="1"/>
  <c r="K75" i="4" s="1"/>
  <c r="F74" i="4"/>
  <c r="G74" i="4" s="1"/>
  <c r="H74" i="4" s="1"/>
  <c r="K74" i="4" s="1"/>
  <c r="F73" i="4"/>
  <c r="G73" i="4" s="1"/>
  <c r="H73" i="4" s="1"/>
  <c r="K73" i="4" s="1"/>
  <c r="F71" i="4"/>
  <c r="G71" i="4" s="1"/>
  <c r="H71" i="4" s="1"/>
  <c r="K71" i="4" s="1"/>
  <c r="F70" i="4"/>
  <c r="G70" i="4" s="1"/>
  <c r="H70" i="4" s="1"/>
  <c r="K70" i="4" s="1"/>
  <c r="F69" i="4"/>
  <c r="G69" i="4" s="1"/>
  <c r="H69" i="4" s="1"/>
  <c r="K69" i="4" s="1"/>
  <c r="F68" i="4"/>
  <c r="G68" i="4" s="1"/>
  <c r="H68" i="4" s="1"/>
  <c r="K68" i="4" s="1"/>
  <c r="F67" i="4"/>
  <c r="G67" i="4" s="1"/>
  <c r="H67" i="4" s="1"/>
  <c r="K67" i="4" s="1"/>
  <c r="F66" i="4"/>
  <c r="G66" i="4" s="1"/>
  <c r="H66" i="4" s="1"/>
  <c r="K66" i="4" s="1"/>
  <c r="F65" i="4"/>
  <c r="G65" i="4" s="1"/>
  <c r="H65" i="4" s="1"/>
  <c r="K65" i="4" s="1"/>
  <c r="F64" i="4"/>
  <c r="G64" i="4" s="1"/>
  <c r="H64" i="4" s="1"/>
  <c r="K64" i="4" s="1"/>
  <c r="F63" i="4"/>
  <c r="G63" i="4" s="1"/>
  <c r="H63" i="4" s="1"/>
  <c r="K63" i="4" s="1"/>
  <c r="F62" i="4"/>
  <c r="G62" i="4" s="1"/>
  <c r="H62" i="4" s="1"/>
  <c r="K62" i="4" s="1"/>
  <c r="F61" i="4"/>
  <c r="G61" i="4" s="1"/>
  <c r="H61" i="4" s="1"/>
  <c r="K61" i="4" s="1"/>
  <c r="F60" i="4"/>
  <c r="G60" i="4" s="1"/>
  <c r="H60" i="4" s="1"/>
  <c r="K60" i="4" s="1"/>
  <c r="F59" i="4"/>
  <c r="G59" i="4" s="1"/>
  <c r="H59" i="4" s="1"/>
  <c r="K59" i="4" s="1"/>
  <c r="G58" i="4"/>
  <c r="H58" i="4" s="1"/>
  <c r="K58" i="4" s="1"/>
  <c r="F57" i="4"/>
  <c r="G57" i="4" s="1"/>
  <c r="H57" i="4" s="1"/>
  <c r="K57" i="4" s="1"/>
  <c r="F56" i="4"/>
  <c r="G56" i="4" s="1"/>
  <c r="H56" i="4" s="1"/>
  <c r="K56" i="4" s="1"/>
  <c r="F55" i="4"/>
  <c r="G55" i="4" s="1"/>
  <c r="H55" i="4" s="1"/>
  <c r="K55" i="4" s="1"/>
  <c r="F54" i="4"/>
  <c r="G54" i="4" s="1"/>
  <c r="H54" i="4" s="1"/>
  <c r="K54" i="4" s="1"/>
  <c r="F53" i="4"/>
  <c r="G53" i="4" s="1"/>
  <c r="H53" i="4" s="1"/>
  <c r="K53" i="4" s="1"/>
  <c r="F52" i="4"/>
  <c r="G52" i="4" s="1"/>
  <c r="H52" i="4" s="1"/>
  <c r="K52" i="4" s="1"/>
  <c r="F51" i="4"/>
  <c r="G51" i="4" s="1"/>
  <c r="H51" i="4" s="1"/>
  <c r="K51" i="4" s="1"/>
  <c r="F50" i="4"/>
  <c r="G50" i="4" s="1"/>
  <c r="H50" i="4" s="1"/>
  <c r="K50" i="4" s="1"/>
  <c r="F49" i="4"/>
  <c r="G49" i="4" s="1"/>
  <c r="H49" i="4" s="1"/>
  <c r="K49" i="4" s="1"/>
  <c r="F48" i="4"/>
  <c r="G48" i="4" s="1"/>
  <c r="H48" i="4" s="1"/>
  <c r="K48" i="4" s="1"/>
  <c r="F47" i="4"/>
  <c r="G47" i="4" s="1"/>
  <c r="H47" i="4" s="1"/>
  <c r="K47" i="4" s="1"/>
  <c r="F46" i="4"/>
  <c r="G46" i="4" s="1"/>
  <c r="H46" i="4" s="1"/>
  <c r="K46" i="4" s="1"/>
  <c r="F45" i="4"/>
  <c r="G45" i="4" s="1"/>
  <c r="H45" i="4" s="1"/>
  <c r="K45" i="4" s="1"/>
  <c r="F44" i="4"/>
  <c r="G44" i="4" s="1"/>
  <c r="H44" i="4" s="1"/>
  <c r="K44" i="4" s="1"/>
  <c r="F43" i="4"/>
  <c r="G43" i="4" s="1"/>
  <c r="H43" i="4" s="1"/>
  <c r="K43" i="4" s="1"/>
  <c r="F42" i="4"/>
  <c r="G42" i="4" s="1"/>
  <c r="H42" i="4" s="1"/>
  <c r="K42" i="4" s="1"/>
  <c r="F41" i="4"/>
  <c r="G41" i="4" s="1"/>
  <c r="H41" i="4" s="1"/>
  <c r="K41" i="4" s="1"/>
  <c r="F40" i="4"/>
  <c r="G40" i="4" s="1"/>
  <c r="H40" i="4" s="1"/>
  <c r="K40" i="4" s="1"/>
  <c r="F39" i="4"/>
  <c r="G39" i="4" s="1"/>
  <c r="H39" i="4" s="1"/>
  <c r="K39" i="4" s="1"/>
  <c r="F38" i="4"/>
  <c r="G38" i="4" s="1"/>
  <c r="H38" i="4" s="1"/>
  <c r="K38" i="4" s="1"/>
  <c r="F37" i="4"/>
  <c r="G37" i="4" s="1"/>
  <c r="H37" i="4" s="1"/>
  <c r="K37" i="4" s="1"/>
  <c r="F36" i="4"/>
  <c r="G36" i="4" s="1"/>
  <c r="H36" i="4" s="1"/>
  <c r="K36" i="4" s="1"/>
  <c r="F35" i="4"/>
  <c r="G35" i="4" s="1"/>
  <c r="H35" i="4" s="1"/>
  <c r="K35" i="4" s="1"/>
  <c r="F34" i="4"/>
  <c r="G34" i="4" s="1"/>
  <c r="H34" i="4" s="1"/>
  <c r="K34" i="4" s="1"/>
  <c r="F33" i="4"/>
  <c r="G33" i="4" s="1"/>
  <c r="H33" i="4" s="1"/>
  <c r="K33" i="4" s="1"/>
  <c r="F32" i="4"/>
  <c r="G32" i="4" s="1"/>
  <c r="H32" i="4" s="1"/>
  <c r="K32" i="4" s="1"/>
  <c r="F31" i="4"/>
  <c r="G31" i="4" s="1"/>
  <c r="H31" i="4" s="1"/>
  <c r="K31" i="4" s="1"/>
  <c r="G30" i="4"/>
  <c r="H30" i="4" s="1"/>
  <c r="K30" i="4" s="1"/>
  <c r="F29" i="4"/>
  <c r="G29" i="4" s="1"/>
  <c r="H29" i="4" s="1"/>
  <c r="K29" i="4" s="1"/>
  <c r="F28" i="4"/>
  <c r="G28" i="4" s="1"/>
  <c r="H28" i="4" s="1"/>
  <c r="K28" i="4" s="1"/>
  <c r="F27" i="4"/>
  <c r="G27" i="4" s="1"/>
  <c r="H27" i="4" s="1"/>
  <c r="K27" i="4" s="1"/>
  <c r="F26" i="4"/>
  <c r="G26" i="4" s="1"/>
  <c r="H26" i="4" s="1"/>
  <c r="K26" i="4" s="1"/>
  <c r="F25" i="4"/>
  <c r="G25" i="4" s="1"/>
  <c r="H25" i="4" s="1"/>
  <c r="K25" i="4" s="1"/>
  <c r="F24" i="4"/>
  <c r="G24" i="4" s="1"/>
  <c r="H24" i="4" s="1"/>
  <c r="K24" i="4" s="1"/>
  <c r="F23" i="4"/>
  <c r="G23" i="4" s="1"/>
  <c r="H23" i="4" s="1"/>
  <c r="K23" i="4" s="1"/>
  <c r="F22" i="4"/>
  <c r="G22" i="4" s="1"/>
  <c r="H22" i="4" s="1"/>
  <c r="K22" i="4" s="1"/>
  <c r="F21" i="4"/>
  <c r="G21" i="4" s="1"/>
  <c r="H21" i="4" s="1"/>
  <c r="K21" i="4" s="1"/>
  <c r="F20" i="4"/>
  <c r="G20" i="4" s="1"/>
  <c r="H20" i="4" s="1"/>
  <c r="K20" i="4" s="1"/>
  <c r="F19" i="4"/>
  <c r="G19" i="4" s="1"/>
  <c r="H19" i="4" s="1"/>
  <c r="K19" i="4" s="1"/>
  <c r="F18" i="4"/>
  <c r="G18" i="4" s="1"/>
  <c r="H18" i="4" s="1"/>
  <c r="K18" i="4" s="1"/>
  <c r="F17" i="4"/>
  <c r="G17" i="4" s="1"/>
  <c r="H17" i="4" s="1"/>
  <c r="K17" i="4" s="1"/>
  <c r="F16" i="4"/>
  <c r="G16" i="4" s="1"/>
  <c r="H16" i="4" s="1"/>
  <c r="K16" i="4" s="1"/>
  <c r="F15" i="4"/>
  <c r="G15" i="4" s="1"/>
  <c r="H15" i="4" s="1"/>
  <c r="K15" i="4" s="1"/>
  <c r="F14" i="4"/>
  <c r="G14" i="4" s="1"/>
  <c r="H14" i="4" s="1"/>
  <c r="K14" i="4" s="1"/>
  <c r="F13" i="4"/>
  <c r="G13" i="4" s="1"/>
  <c r="H13" i="4" s="1"/>
  <c r="K13" i="4" s="1"/>
  <c r="F12" i="4"/>
  <c r="G12" i="4" s="1"/>
  <c r="H12" i="4" s="1"/>
  <c r="K12" i="4" s="1"/>
  <c r="F11" i="4"/>
  <c r="G11" i="4" s="1"/>
  <c r="H11" i="4" s="1"/>
  <c r="K11" i="4" s="1"/>
  <c r="F10" i="4"/>
  <c r="G10" i="4" s="1"/>
  <c r="H10" i="4" s="1"/>
  <c r="K10" i="4" s="1"/>
  <c r="F9" i="4"/>
  <c r="G9" i="4" s="1"/>
  <c r="H9" i="4" s="1"/>
  <c r="K9" i="4" s="1"/>
  <c r="F8" i="4"/>
  <c r="G8" i="4" s="1"/>
  <c r="H8" i="4" s="1"/>
  <c r="K8" i="4" s="1"/>
  <c r="F7" i="4"/>
  <c r="G7" i="4" s="1"/>
  <c r="H7" i="4" s="1"/>
  <c r="K7" i="4" s="1"/>
  <c r="F6" i="4"/>
  <c r="G6" i="4" s="1"/>
  <c r="H6" i="4" s="1"/>
  <c r="K6" i="4" s="1"/>
  <c r="F5" i="4"/>
  <c r="G5" i="4" s="1"/>
  <c r="H5" i="4" s="1"/>
  <c r="K5" i="4" s="1"/>
  <c r="F4" i="4"/>
  <c r="G4" i="4" s="1"/>
  <c r="H4" i="4" s="1"/>
  <c r="K4" i="4" s="1"/>
  <c r="F3" i="4"/>
  <c r="G3" i="4" s="1"/>
  <c r="H3" i="4" s="1"/>
  <c r="K3" i="4" s="1"/>
  <c r="G2" i="4"/>
  <c r="H2" i="4" s="1"/>
  <c r="K2" i="4" s="1"/>
</calcChain>
</file>

<file path=xl/sharedStrings.xml><?xml version="1.0" encoding="utf-8"?>
<sst xmlns="http://schemas.openxmlformats.org/spreadsheetml/2006/main" count="256" uniqueCount="27">
  <si>
    <t>D</t>
  </si>
  <si>
    <t>S</t>
  </si>
  <si>
    <t>DS</t>
  </si>
  <si>
    <t>FMT</t>
  </si>
  <si>
    <t>Washout</t>
  </si>
  <si>
    <t>Animal</t>
  </si>
  <si>
    <t>Day</t>
  </si>
  <si>
    <t>Weight</t>
  </si>
  <si>
    <t>% of body weight</t>
  </si>
  <si>
    <t>% of body weight LOSS</t>
  </si>
  <si>
    <t>DAI body weight</t>
  </si>
  <si>
    <t xml:space="preserve">Stool consistency </t>
  </si>
  <si>
    <t xml:space="preserve">Blood </t>
  </si>
  <si>
    <t>TOTAL DAI</t>
  </si>
  <si>
    <t>Treatment</t>
  </si>
  <si>
    <t>DSS</t>
  </si>
  <si>
    <t>Recovery</t>
  </si>
  <si>
    <t>DD</t>
  </si>
  <si>
    <t>SS</t>
  </si>
  <si>
    <t>Group</t>
  </si>
  <si>
    <t>DSS + Antibiotics + Healthy Patient-FMT</t>
  </si>
  <si>
    <t>Antibiotics</t>
  </si>
  <si>
    <t>Antbiotics</t>
  </si>
  <si>
    <t>DSS + Antibiotics</t>
  </si>
  <si>
    <t>DSS + Antibiotics + UC#4 Patient-FMT</t>
  </si>
  <si>
    <t>DSS + Antibiotics + UC#5 Patient-FMT</t>
  </si>
  <si>
    <t>DSS + Antibiotcs + UC#6 Patient-FMT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</si>
</sst>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18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 (Body)"/>
    </font>
    <font>
      <b/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rgb="FFD0E0E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D0E0E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rgb="FFD0E0E3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BECD"/>
        <bgColor rgb="FFD0E0E3"/>
      </patternFill>
    </fill>
    <fill>
      <patternFill patternType="solid">
        <fgColor rgb="FFFFBECD"/>
        <bgColor indexed="64"/>
      </patternFill>
    </fill>
    <fill>
      <patternFill patternType="solid">
        <fgColor theme="9" tint="0.59999389629810485"/>
        <bgColor rgb="FFD0E0E3"/>
      </patternFill>
    </fill>
    <fill>
      <patternFill patternType="solid">
        <fgColor rgb="FFFFE699"/>
        <bgColor rgb="FFD0E0E3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91">
    <xf numFmtId="0" fontId="0" fillId="0" borderId="0" xfId="0"/>
    <xf numFmtId="0" fontId="0" fillId="2" borderId="6" xfId="0" applyFill="1" applyBorder="1"/>
    <xf numFmtId="0" fontId="4" fillId="0" borderId="0" xfId="0" applyFont="1"/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4" fontId="0" fillId="0" borderId="0" xfId="0" applyNumberFormat="1"/>
    <xf numFmtId="0" fontId="5" fillId="0" borderId="0" xfId="0" applyFont="1"/>
    <xf numFmtId="0" fontId="1" fillId="4" borderId="1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2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2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2" fontId="2" fillId="4" borderId="12" xfId="0" applyNumberFormat="1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66" fontId="3" fillId="5" borderId="13" xfId="0" applyNumberFormat="1" applyFont="1" applyFill="1" applyBorder="1" applyAlignment="1">
      <alignment horizontal="center"/>
    </xf>
    <xf numFmtId="166" fontId="4" fillId="5" borderId="7" xfId="0" applyNumberFormat="1" applyFont="1" applyFill="1" applyBorder="1" applyAlignment="1">
      <alignment horizontal="center"/>
    </xf>
    <xf numFmtId="166" fontId="4" fillId="5" borderId="4" xfId="0" applyNumberFormat="1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166" fontId="3" fillId="7" borderId="13" xfId="0" applyNumberFormat="1" applyFont="1" applyFill="1" applyBorder="1" applyAlignment="1">
      <alignment horizontal="center"/>
    </xf>
    <xf numFmtId="2" fontId="2" fillId="6" borderId="11" xfId="0" applyNumberFormat="1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6" fontId="4" fillId="7" borderId="7" xfId="0" applyNumberFormat="1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166" fontId="4" fillId="7" borderId="4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2" fontId="2" fillId="6" borderId="4" xfId="0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2" fontId="2" fillId="6" borderId="12" xfId="0" applyNumberFormat="1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0" fillId="5" borderId="10" xfId="0" applyFill="1" applyBorder="1"/>
    <xf numFmtId="0" fontId="0" fillId="5" borderId="16" xfId="0" applyFill="1" applyBorder="1"/>
    <xf numFmtId="0" fontId="7" fillId="4" borderId="5" xfId="0" applyFont="1" applyFill="1" applyBorder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2" fontId="2" fillId="4" borderId="6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0" fillId="5" borderId="6" xfId="0" applyFill="1" applyBorder="1"/>
    <xf numFmtId="0" fontId="9" fillId="4" borderId="6" xfId="0" applyFont="1" applyFill="1" applyBorder="1" applyAlignment="1">
      <alignment horizontal="center"/>
    </xf>
    <xf numFmtId="0" fontId="0" fillId="7" borderId="10" xfId="0" applyFill="1" applyBorder="1"/>
    <xf numFmtId="0" fontId="0" fillId="7" borderId="16" xfId="0" applyFill="1" applyBorder="1"/>
    <xf numFmtId="0" fontId="8" fillId="6" borderId="14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2" fontId="2" fillId="6" borderId="5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2" fontId="2" fillId="6" borderId="6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0" fillId="7" borderId="6" xfId="0" applyFill="1" applyBorder="1"/>
    <xf numFmtId="0" fontId="9" fillId="6" borderId="6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166" fontId="3" fillId="9" borderId="13" xfId="0" applyNumberFormat="1" applyFont="1" applyFill="1" applyBorder="1" applyAlignment="1">
      <alignment horizontal="center"/>
    </xf>
    <xf numFmtId="2" fontId="2" fillId="8" borderId="11" xfId="0" applyNumberFormat="1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66" fontId="4" fillId="9" borderId="7" xfId="0" applyNumberFormat="1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66" fontId="4" fillId="9" borderId="4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2" fontId="11" fillId="8" borderId="1" xfId="0" applyNumberFormat="1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0" fillId="9" borderId="10" xfId="0" applyFill="1" applyBorder="1"/>
    <xf numFmtId="0" fontId="0" fillId="9" borderId="16" xfId="0" applyFill="1" applyBorder="1"/>
    <xf numFmtId="0" fontId="1" fillId="8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2" fontId="2" fillId="8" borderId="4" xfId="0" applyNumberFormat="1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0" fillId="9" borderId="17" xfId="0" applyFill="1" applyBorder="1"/>
    <xf numFmtId="0" fontId="8" fillId="8" borderId="14" xfId="0" applyFont="1" applyFill="1" applyBorder="1" applyAlignment="1">
      <alignment horizontal="center"/>
    </xf>
    <xf numFmtId="0" fontId="8" fillId="8" borderId="15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2" fontId="2" fillId="8" borderId="12" xfId="0" applyNumberFormat="1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0" fillId="9" borderId="18" xfId="0" applyFill="1" applyBorder="1"/>
    <xf numFmtId="0" fontId="1" fillId="8" borderId="5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2" fontId="2" fillId="8" borderId="5" xfId="0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2" fontId="2" fillId="8" borderId="6" xfId="0" applyNumberFormat="1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0" fillId="9" borderId="6" xfId="0" applyFill="1" applyBorder="1"/>
    <xf numFmtId="0" fontId="9" fillId="8" borderId="6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/>
    </xf>
    <xf numFmtId="166" fontId="3" fillId="11" borderId="13" xfId="0" applyNumberFormat="1" applyFont="1" applyFill="1" applyBorder="1" applyAlignment="1">
      <alignment horizontal="center"/>
    </xf>
    <xf numFmtId="2" fontId="2" fillId="10" borderId="11" xfId="0" applyNumberFormat="1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166" fontId="4" fillId="11" borderId="7" xfId="0" applyNumberFormat="1" applyFont="1" applyFill="1" applyBorder="1" applyAlignment="1">
      <alignment horizontal="center"/>
    </xf>
    <xf numFmtId="2" fontId="2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166" fontId="4" fillId="11" borderId="4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2" fontId="11" fillId="10" borderId="1" xfId="0" applyNumberFormat="1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0" fillId="11" borderId="10" xfId="0" applyFill="1" applyBorder="1"/>
    <xf numFmtId="0" fontId="0" fillId="11" borderId="16" xfId="0" applyFill="1" applyBorder="1"/>
    <xf numFmtId="0" fontId="1" fillId="10" borderId="4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2" fontId="2" fillId="10" borderId="4" xfId="0" applyNumberFormat="1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0" fillId="11" borderId="17" xfId="0" applyFill="1" applyBorder="1"/>
    <xf numFmtId="0" fontId="8" fillId="10" borderId="14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6" fillId="10" borderId="12" xfId="0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2" fontId="2" fillId="10" borderId="12" xfId="0" applyNumberFormat="1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0" fillId="11" borderId="18" xfId="0" applyFill="1" applyBorder="1"/>
    <xf numFmtId="0" fontId="1" fillId="10" borderId="5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2" fontId="2" fillId="10" borderId="5" xfId="0" applyNumberFormat="1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2" fontId="2" fillId="10" borderId="6" xfId="0" applyNumberFormat="1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0" fillId="11" borderId="6" xfId="0" applyFill="1" applyBorder="1"/>
    <xf numFmtId="0" fontId="9" fillId="10" borderId="6" xfId="0" applyFont="1" applyFill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166" fontId="3" fillId="2" borderId="13" xfId="0" applyNumberFormat="1" applyFont="1" applyFill="1" applyBorder="1" applyAlignment="1">
      <alignment horizontal="center"/>
    </xf>
    <xf numFmtId="2" fontId="2" fillId="12" borderId="11" xfId="0" applyNumberFormat="1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8" fillId="12" borderId="1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2" fontId="2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166" fontId="4" fillId="2" borderId="4" xfId="0" applyNumberFormat="1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2" fontId="11" fillId="12" borderId="1" xfId="0" applyNumberFormat="1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0" fillId="2" borderId="10" xfId="0" applyFill="1" applyBorder="1"/>
    <xf numFmtId="0" fontId="0" fillId="2" borderId="16" xfId="0" applyFill="1" applyBorder="1"/>
    <xf numFmtId="0" fontId="1" fillId="12" borderId="4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2" fontId="2" fillId="12" borderId="4" xfId="0" applyNumberFormat="1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8" fillId="12" borderId="4" xfId="0" applyFont="1" applyFill="1" applyBorder="1" applyAlignment="1">
      <alignment horizontal="center"/>
    </xf>
    <xf numFmtId="0" fontId="7" fillId="12" borderId="11" xfId="0" applyFont="1" applyFill="1" applyBorder="1" applyAlignment="1">
      <alignment horizontal="center"/>
    </xf>
    <xf numFmtId="0" fontId="0" fillId="2" borderId="17" xfId="0" applyFill="1" applyBorder="1"/>
    <xf numFmtId="0" fontId="8" fillId="12" borderId="14" xfId="0" applyFont="1" applyFill="1" applyBorder="1" applyAlignment="1">
      <alignment horizontal="center"/>
    </xf>
    <xf numFmtId="0" fontId="8" fillId="12" borderId="15" xfId="0" applyFont="1" applyFill="1" applyBorder="1" applyAlignment="1">
      <alignment horizontal="center"/>
    </xf>
    <xf numFmtId="0" fontId="8" fillId="12" borderId="5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7" fillId="12" borderId="12" xfId="0" applyFont="1" applyFill="1" applyBorder="1" applyAlignment="1">
      <alignment horizontal="center"/>
    </xf>
    <xf numFmtId="2" fontId="2" fillId="12" borderId="12" xfId="0" applyNumberFormat="1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0" fillId="2" borderId="18" xfId="0" applyFill="1" applyBorder="1"/>
    <xf numFmtId="0" fontId="1" fillId="12" borderId="5" xfId="0" applyFont="1" applyFill="1" applyBorder="1" applyAlignment="1">
      <alignment horizontal="center"/>
    </xf>
    <xf numFmtId="0" fontId="1" fillId="12" borderId="19" xfId="0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2" fontId="2" fillId="12" borderId="5" xfId="0" applyNumberFormat="1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7" fillId="12" borderId="6" xfId="0" applyFont="1" applyFill="1" applyBorder="1" applyAlignment="1">
      <alignment horizontal="center"/>
    </xf>
    <xf numFmtId="2" fontId="2" fillId="12" borderId="6" xfId="0" applyNumberFormat="1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8" fillId="12" borderId="6" xfId="0" applyFont="1" applyFill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2" fontId="15" fillId="13" borderId="1" xfId="0" applyNumberFormat="1" applyFont="1" applyFill="1" applyBorder="1" applyAlignment="1">
      <alignment horizontal="center"/>
    </xf>
    <xf numFmtId="167" fontId="2" fillId="12" borderId="5" xfId="0" applyNumberFormat="1" applyFont="1" applyFill="1" applyBorder="1" applyAlignment="1">
      <alignment horizontal="center"/>
    </xf>
    <xf numFmtId="167" fontId="2" fillId="12" borderId="1" xfId="0" applyNumberFormat="1" applyFont="1" applyFill="1" applyBorder="1" applyAlignment="1">
      <alignment horizontal="center"/>
    </xf>
    <xf numFmtId="167" fontId="7" fillId="12" borderId="1" xfId="0" applyNumberFormat="1" applyFont="1" applyFill="1" applyBorder="1" applyAlignment="1">
      <alignment horizontal="center"/>
    </xf>
    <xf numFmtId="167" fontId="7" fillId="8" borderId="1" xfId="0" applyNumberFormat="1" applyFont="1" applyFill="1" applyBorder="1" applyAlignment="1">
      <alignment horizontal="center"/>
    </xf>
    <xf numFmtId="167" fontId="7" fillId="4" borderId="6" xfId="0" applyNumberFormat="1" applyFont="1" applyFill="1" applyBorder="1" applyAlignment="1">
      <alignment horizontal="center"/>
    </xf>
    <xf numFmtId="167" fontId="7" fillId="8" borderId="6" xfId="0" applyNumberFormat="1" applyFont="1" applyFill="1" applyBorder="1" applyAlignment="1">
      <alignment horizontal="center"/>
    </xf>
    <xf numFmtId="167" fontId="7" fillId="6" borderId="4" xfId="0" applyNumberFormat="1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0" fontId="0" fillId="7" borderId="17" xfId="0" applyFill="1" applyBorder="1"/>
    <xf numFmtId="167" fontId="7" fillId="8" borderId="11" xfId="0" applyNumberFormat="1" applyFont="1" applyFill="1" applyBorder="1" applyAlignment="1">
      <alignment horizontal="center"/>
    </xf>
    <xf numFmtId="167" fontId="7" fillId="10" borderId="11" xfId="0" applyNumberFormat="1" applyFont="1" applyFill="1" applyBorder="1" applyAlignment="1">
      <alignment horizontal="center"/>
    </xf>
    <xf numFmtId="0" fontId="0" fillId="5" borderId="17" xfId="0" applyFill="1" applyBorder="1"/>
    <xf numFmtId="167" fontId="7" fillId="4" borderId="1" xfId="0" applyNumberFormat="1" applyFont="1" applyFill="1" applyBorder="1" applyAlignment="1">
      <alignment horizontal="center"/>
    </xf>
    <xf numFmtId="167" fontId="7" fillId="6" borderId="1" xfId="0" applyNumberFormat="1" applyFont="1" applyFill="1" applyBorder="1" applyAlignment="1">
      <alignment horizontal="center"/>
    </xf>
    <xf numFmtId="167" fontId="7" fillId="4" borderId="4" xfId="0" applyNumberFormat="1" applyFont="1" applyFill="1" applyBorder="1" applyAlignment="1">
      <alignment horizontal="center"/>
    </xf>
    <xf numFmtId="167" fontId="7" fillId="6" borderId="6" xfId="0" applyNumberFormat="1" applyFont="1" applyFill="1" applyBorder="1" applyAlignment="1">
      <alignment horizontal="center"/>
    </xf>
    <xf numFmtId="167" fontId="7" fillId="10" borderId="6" xfId="0" applyNumberFormat="1" applyFont="1" applyFill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0" fontId="0" fillId="7" borderId="21" xfId="0" applyFill="1" applyBorder="1"/>
    <xf numFmtId="0" fontId="1" fillId="6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2" fontId="2" fillId="6" borderId="8" xfId="0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0" fillId="7" borderId="8" xfId="0" applyFill="1" applyBorder="1"/>
    <xf numFmtId="0" fontId="8" fillId="8" borderId="19" xfId="0" applyFont="1" applyFill="1" applyBorder="1" applyAlignment="1">
      <alignment horizontal="center"/>
    </xf>
    <xf numFmtId="0" fontId="0" fillId="9" borderId="21" xfId="0" applyFill="1" applyBorder="1"/>
    <xf numFmtId="0" fontId="1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2" fontId="2" fillId="8" borderId="2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0" fillId="9" borderId="8" xfId="0" applyFill="1" applyBorder="1"/>
    <xf numFmtId="0" fontId="8" fillId="8" borderId="20" xfId="0" applyFont="1" applyFill="1" applyBorder="1" applyAlignment="1">
      <alignment horizontal="center"/>
    </xf>
    <xf numFmtId="0" fontId="8" fillId="8" borderId="22" xfId="0" applyFont="1" applyFill="1" applyBorder="1" applyAlignment="1">
      <alignment horizontal="center"/>
    </xf>
    <xf numFmtId="0" fontId="8" fillId="10" borderId="20" xfId="0" applyFont="1" applyFill="1" applyBorder="1" applyAlignment="1">
      <alignment horizontal="center"/>
    </xf>
    <xf numFmtId="0" fontId="8" fillId="10" borderId="22" xfId="0" applyFont="1" applyFill="1" applyBorder="1" applyAlignment="1">
      <alignment horizontal="center"/>
    </xf>
    <xf numFmtId="0" fontId="8" fillId="12" borderId="20" xfId="0" applyFont="1" applyFill="1" applyBorder="1" applyAlignment="1">
      <alignment horizontal="center"/>
    </xf>
    <xf numFmtId="0" fontId="8" fillId="12" borderId="2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2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167" fontId="7" fillId="8" borderId="4" xfId="0" applyNumberFormat="1" applyFont="1" applyFill="1" applyBorder="1" applyAlignment="1">
      <alignment horizontal="center"/>
    </xf>
    <xf numFmtId="167" fontId="7" fillId="10" borderId="4" xfId="0" applyNumberFormat="1" applyFont="1" applyFill="1" applyBorder="1" applyAlignment="1">
      <alignment horizontal="center"/>
    </xf>
    <xf numFmtId="167" fontId="7" fillId="12" borderId="4" xfId="0" applyNumberFormat="1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5" borderId="16" xfId="0" applyFont="1" applyFill="1" applyBorder="1"/>
    <xf numFmtId="0" fontId="16" fillId="5" borderId="17" xfId="0" applyFont="1" applyFill="1" applyBorder="1"/>
    <xf numFmtId="0" fontId="16" fillId="5" borderId="18" xfId="0" applyFont="1" applyFill="1" applyBorder="1"/>
    <xf numFmtId="167" fontId="7" fillId="6" borderId="12" xfId="0" applyNumberFormat="1" applyFont="1" applyFill="1" applyBorder="1" applyAlignment="1">
      <alignment horizontal="center"/>
    </xf>
    <xf numFmtId="167" fontId="7" fillId="10" borderId="12" xfId="0" applyNumberFormat="1" applyFont="1" applyFill="1" applyBorder="1" applyAlignment="1">
      <alignment horizontal="center"/>
    </xf>
    <xf numFmtId="0" fontId="0" fillId="5" borderId="18" xfId="0" applyFill="1" applyBorder="1"/>
    <xf numFmtId="0" fontId="1" fillId="8" borderId="9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2" fontId="2" fillId="8" borderId="9" xfId="0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0" fillId="9" borderId="9" xfId="0" applyFill="1" applyBorder="1"/>
    <xf numFmtId="0" fontId="1" fillId="9" borderId="8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2" fontId="2" fillId="9" borderId="8" xfId="0" applyNumberFormat="1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/>
    </xf>
    <xf numFmtId="166" fontId="3" fillId="7" borderId="6" xfId="0" applyNumberFormat="1" applyFont="1" applyFill="1" applyBorder="1" applyAlignment="1">
      <alignment horizontal="center"/>
    </xf>
    <xf numFmtId="2" fontId="2" fillId="6" borderId="24" xfId="0" applyNumberFormat="1" applyFont="1" applyFill="1" applyBorder="1" applyAlignment="1">
      <alignment horizontal="center"/>
    </xf>
    <xf numFmtId="166" fontId="4" fillId="7" borderId="13" xfId="0" applyNumberFormat="1" applyFont="1" applyFill="1" applyBorder="1" applyAlignment="1">
      <alignment horizontal="center"/>
    </xf>
    <xf numFmtId="0" fontId="17" fillId="0" borderId="0" xfId="0" applyFont="1"/>
    <xf numFmtId="0" fontId="1" fillId="6" borderId="9" xfId="0" applyFont="1" applyFill="1" applyBorder="1" applyAlignment="1">
      <alignment horizontal="center"/>
    </xf>
    <xf numFmtId="167" fontId="7" fillId="6" borderId="9" xfId="0" applyNumberFormat="1" applyFont="1" applyFill="1" applyBorder="1" applyAlignment="1">
      <alignment horizontal="center"/>
    </xf>
    <xf numFmtId="2" fontId="2" fillId="6" borderId="9" xfId="0" applyNumberFormat="1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0" fillId="7" borderId="9" xfId="0" applyFill="1" applyBorder="1"/>
    <xf numFmtId="0" fontId="6" fillId="8" borderId="23" xfId="0" applyFont="1" applyFill="1" applyBorder="1" applyAlignment="1">
      <alignment horizontal="center"/>
    </xf>
    <xf numFmtId="166" fontId="3" fillId="9" borderId="6" xfId="0" applyNumberFormat="1" applyFont="1" applyFill="1" applyBorder="1" applyAlignment="1">
      <alignment horizontal="center"/>
    </xf>
    <xf numFmtId="2" fontId="2" fillId="8" borderId="24" xfId="0" applyNumberFormat="1" applyFont="1" applyFill="1" applyBorder="1" applyAlignment="1">
      <alignment horizontal="center"/>
    </xf>
    <xf numFmtId="166" fontId="4" fillId="9" borderId="13" xfId="0" applyNumberFormat="1" applyFont="1" applyFill="1" applyBorder="1" applyAlignment="1">
      <alignment horizontal="center"/>
    </xf>
    <xf numFmtId="166" fontId="3" fillId="11" borderId="6" xfId="0" applyNumberFormat="1" applyFont="1" applyFill="1" applyBorder="1" applyAlignment="1">
      <alignment horizontal="center"/>
    </xf>
    <xf numFmtId="2" fontId="2" fillId="10" borderId="24" xfId="0" applyNumberFormat="1" applyFont="1" applyFill="1" applyBorder="1" applyAlignment="1">
      <alignment horizontal="center"/>
    </xf>
    <xf numFmtId="166" fontId="4" fillId="11" borderId="13" xfId="0" applyNumberFormat="1" applyFont="1" applyFill="1" applyBorder="1" applyAlignment="1">
      <alignment horizontal="center"/>
    </xf>
    <xf numFmtId="0" fontId="6" fillId="12" borderId="23" xfId="0" applyFont="1" applyFill="1" applyBorder="1" applyAlignment="1">
      <alignment horizontal="center"/>
    </xf>
    <xf numFmtId="166" fontId="3" fillId="2" borderId="6" xfId="0" applyNumberFormat="1" applyFont="1" applyFill="1" applyBorder="1" applyAlignment="1">
      <alignment horizontal="center"/>
    </xf>
    <xf numFmtId="2" fontId="2" fillId="12" borderId="24" xfId="0" applyNumberFormat="1" applyFont="1" applyFill="1" applyBorder="1" applyAlignment="1">
      <alignment horizontal="center"/>
    </xf>
    <xf numFmtId="166" fontId="4" fillId="2" borderId="13" xfId="0" applyNumberFormat="1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2" fontId="2" fillId="8" borderId="8" xfId="0" applyNumberFormat="1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7" fillId="12" borderId="9" xfId="0" applyFont="1" applyFill="1" applyBorder="1" applyAlignment="1">
      <alignment horizontal="center"/>
    </xf>
    <xf numFmtId="2" fontId="2" fillId="12" borderId="9" xfId="0" applyNumberFormat="1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8" fillId="12" borderId="9" xfId="0" applyFont="1" applyFill="1" applyBorder="1" applyAlignment="1">
      <alignment horizontal="center"/>
    </xf>
    <xf numFmtId="0" fontId="0" fillId="2" borderId="9" xfId="0" applyFill="1" applyBorder="1"/>
    <xf numFmtId="0" fontId="6" fillId="12" borderId="3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2" fontId="2" fillId="12" borderId="8" xfId="0" applyNumberFormat="1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8" fillId="12" borderId="8" xfId="0" applyFont="1" applyFill="1" applyBorder="1" applyAlignment="1">
      <alignment horizontal="center"/>
    </xf>
    <xf numFmtId="0" fontId="0" fillId="2" borderId="8" xfId="0" applyFill="1" applyBorder="1"/>
    <xf numFmtId="0" fontId="1" fillId="4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2" fontId="2" fillId="4" borderId="8" xfId="0" applyNumberFormat="1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0" fillId="5" borderId="8" xfId="0" applyFill="1" applyBorder="1"/>
    <xf numFmtId="0" fontId="2" fillId="6" borderId="2" xfId="0" applyFont="1" applyFill="1" applyBorder="1" applyAlignment="1">
      <alignment horizontal="center"/>
    </xf>
    <xf numFmtId="0" fontId="0" fillId="7" borderId="18" xfId="0" applyFill="1" applyBorder="1"/>
    <xf numFmtId="0" fontId="6" fillId="6" borderId="2" xfId="0" applyFont="1" applyFill="1" applyBorder="1" applyAlignment="1">
      <alignment horizontal="center"/>
    </xf>
    <xf numFmtId="167" fontId="7" fillId="6" borderId="8" xfId="0" applyNumberFormat="1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2" fontId="2" fillId="10" borderId="8" xfId="0" applyNumberFormat="1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0" fillId="11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FDD1-EC84-C248-81FE-74181B8507BA}">
  <dimension ref="A1:K715"/>
  <sheetViews>
    <sheetView tabSelected="1" zoomScale="75" workbookViewId="0">
      <selection activeCell="F676" sqref="F676"/>
    </sheetView>
  </sheetViews>
  <sheetFormatPr baseColWidth="10" defaultRowHeight="16" x14ac:dyDescent="0.2"/>
  <cols>
    <col min="1" max="1" width="35.33203125" customWidth="1"/>
    <col min="6" max="6" width="20.33203125" customWidth="1"/>
    <col min="7" max="7" width="13.1640625" customWidth="1"/>
    <col min="8" max="9" width="17.1640625" customWidth="1"/>
  </cols>
  <sheetData>
    <row r="1" spans="1:11" x14ac:dyDescent="0.2">
      <c r="A1" s="2" t="s">
        <v>19</v>
      </c>
      <c r="B1" s="3" t="s">
        <v>5</v>
      </c>
      <c r="C1" s="3" t="s">
        <v>14</v>
      </c>
      <c r="D1" s="4" t="s">
        <v>6</v>
      </c>
      <c r="E1" s="106" t="s">
        <v>7</v>
      </c>
      <c r="F1" s="5" t="s">
        <v>8</v>
      </c>
      <c r="G1" s="5" t="s">
        <v>9</v>
      </c>
      <c r="H1" s="5" t="s">
        <v>10</v>
      </c>
      <c r="I1" s="6" t="s">
        <v>11</v>
      </c>
      <c r="J1" s="6" t="s">
        <v>12</v>
      </c>
      <c r="K1" s="5" t="s">
        <v>13</v>
      </c>
    </row>
    <row r="2" spans="1:11" x14ac:dyDescent="0.2">
      <c r="A2" s="8" t="s">
        <v>20</v>
      </c>
      <c r="B2" s="9" t="s">
        <v>0</v>
      </c>
      <c r="C2" s="9" t="s">
        <v>21</v>
      </c>
      <c r="D2" s="10">
        <v>1</v>
      </c>
      <c r="E2" s="37">
        <v>19.399999999999999</v>
      </c>
      <c r="F2" s="12">
        <v>100</v>
      </c>
      <c r="G2" s="12">
        <f t="shared" ref="G2:G85" si="0">100-F2</f>
        <v>0</v>
      </c>
      <c r="H2" s="13">
        <f>IF(G2&lt;=1, 0, IF(AND(G2&gt;1, G2&lt;=5), 1, IF(AND(G2&gt;5, G2&lt;=10), 2, IF(AND(G2&gt;10, G2&lt;=15), 3, 4))))</f>
        <v>0</v>
      </c>
      <c r="I2" s="14">
        <v>0</v>
      </c>
      <c r="J2" s="14">
        <v>0</v>
      </c>
      <c r="K2" s="309">
        <f t="shared" ref="K2:K65" si="1">AVERAGE(H2:J2)</f>
        <v>0</v>
      </c>
    </row>
    <row r="3" spans="1:11" x14ac:dyDescent="0.2">
      <c r="A3" s="8"/>
      <c r="B3" s="15"/>
      <c r="C3" s="15"/>
      <c r="D3" s="16">
        <v>3</v>
      </c>
      <c r="E3" s="38">
        <v>18.2</v>
      </c>
      <c r="F3" s="18">
        <f>E3/$E$2*100</f>
        <v>93.814432989690715</v>
      </c>
      <c r="G3" s="18">
        <f t="shared" si="0"/>
        <v>6.1855670103092848</v>
      </c>
      <c r="H3" s="19">
        <f t="shared" ref="H3:H69" si="2">IF(G3&lt;=1, 0, IF(AND(G3&gt;1, G3&lt;=5), 1, IF(AND(G3&gt;5, G3&lt;=10), 2, IF(AND(G3&gt;10, G3&lt;=15), 3, 4))))</f>
        <v>2</v>
      </c>
      <c r="I3" s="20">
        <v>2.5</v>
      </c>
      <c r="J3" s="14">
        <v>0</v>
      </c>
      <c r="K3" s="310">
        <f t="shared" si="1"/>
        <v>1.5</v>
      </c>
    </row>
    <row r="4" spans="1:11" x14ac:dyDescent="0.2">
      <c r="A4" s="8"/>
      <c r="B4" s="15"/>
      <c r="C4" s="15"/>
      <c r="D4" s="16">
        <v>5</v>
      </c>
      <c r="E4" s="38">
        <v>20</v>
      </c>
      <c r="F4" s="18">
        <f>E4/$E$2*100</f>
        <v>103.09278350515466</v>
      </c>
      <c r="G4" s="18">
        <f t="shared" si="0"/>
        <v>-3.0927835051546566</v>
      </c>
      <c r="H4" s="19">
        <f t="shared" si="2"/>
        <v>0</v>
      </c>
      <c r="I4" s="20">
        <v>2</v>
      </c>
      <c r="J4" s="14">
        <v>0</v>
      </c>
      <c r="K4" s="310">
        <f t="shared" si="1"/>
        <v>0.66666666666666663</v>
      </c>
    </row>
    <row r="5" spans="1:11" x14ac:dyDescent="0.2">
      <c r="A5" s="8"/>
      <c r="B5" s="15"/>
      <c r="C5" s="15"/>
      <c r="D5" s="16">
        <v>8</v>
      </c>
      <c r="E5" s="39">
        <v>20.6</v>
      </c>
      <c r="F5" s="18">
        <f>E5/$E$2*100</f>
        <v>106.1855670103093</v>
      </c>
      <c r="G5" s="18">
        <f t="shared" si="0"/>
        <v>-6.185567010309299</v>
      </c>
      <c r="H5" s="19">
        <f t="shared" si="2"/>
        <v>0</v>
      </c>
      <c r="I5" s="20">
        <v>1.5</v>
      </c>
      <c r="J5" s="14">
        <v>0</v>
      </c>
      <c r="K5" s="310">
        <f t="shared" si="1"/>
        <v>0.5</v>
      </c>
    </row>
    <row r="6" spans="1:11" x14ac:dyDescent="0.2">
      <c r="A6" s="8"/>
      <c r="B6" s="15"/>
      <c r="C6" s="15"/>
      <c r="D6" s="16">
        <v>10</v>
      </c>
      <c r="E6" s="39">
        <v>21.1</v>
      </c>
      <c r="F6" s="18">
        <f t="shared" ref="F6:F14" si="3">E6/$E$2*100</f>
        <v>108.76288659793816</v>
      </c>
      <c r="G6" s="18">
        <f t="shared" si="0"/>
        <v>-8.7628865979381629</v>
      </c>
      <c r="H6" s="19">
        <f t="shared" si="2"/>
        <v>0</v>
      </c>
      <c r="I6" s="20">
        <v>3.5</v>
      </c>
      <c r="J6" s="14">
        <v>0</v>
      </c>
      <c r="K6" s="310">
        <f t="shared" si="1"/>
        <v>1.1666666666666667</v>
      </c>
    </row>
    <row r="7" spans="1:11" x14ac:dyDescent="0.2">
      <c r="A7" s="8"/>
      <c r="B7" s="15"/>
      <c r="C7" s="15"/>
      <c r="D7" s="16">
        <v>12</v>
      </c>
      <c r="E7" s="39">
        <v>20.7</v>
      </c>
      <c r="F7" s="18">
        <f t="shared" si="3"/>
        <v>106.70103092783505</v>
      </c>
      <c r="G7" s="18">
        <f t="shared" si="0"/>
        <v>-6.7010309278350491</v>
      </c>
      <c r="H7" s="19">
        <f t="shared" si="2"/>
        <v>0</v>
      </c>
      <c r="I7" s="20">
        <v>2.5</v>
      </c>
      <c r="J7" s="14">
        <v>0</v>
      </c>
      <c r="K7" s="310">
        <f t="shared" si="1"/>
        <v>0.83333333333333337</v>
      </c>
    </row>
    <row r="8" spans="1:11" x14ac:dyDescent="0.2">
      <c r="A8" s="8"/>
      <c r="B8" s="21"/>
      <c r="C8" s="21" t="s">
        <v>4</v>
      </c>
      <c r="D8" s="22">
        <v>15</v>
      </c>
      <c r="E8" s="39">
        <v>21</v>
      </c>
      <c r="F8" s="23">
        <f t="shared" si="3"/>
        <v>108.24742268041238</v>
      </c>
      <c r="G8" s="23">
        <f t="shared" si="0"/>
        <v>-8.2474226804123845</v>
      </c>
      <c r="H8" s="24">
        <f t="shared" si="2"/>
        <v>0</v>
      </c>
      <c r="I8" s="25">
        <v>3.5</v>
      </c>
      <c r="J8" s="14">
        <v>0</v>
      </c>
      <c r="K8" s="310">
        <f t="shared" si="1"/>
        <v>1.1666666666666667</v>
      </c>
    </row>
    <row r="9" spans="1:11" x14ac:dyDescent="0.2">
      <c r="A9" s="8"/>
      <c r="B9" s="15"/>
      <c r="C9" s="15" t="s">
        <v>3</v>
      </c>
      <c r="D9" s="16">
        <v>17</v>
      </c>
      <c r="E9" s="17">
        <v>20.2</v>
      </c>
      <c r="F9" s="18">
        <f t="shared" si="3"/>
        <v>104.1237113402062</v>
      </c>
      <c r="G9" s="18">
        <f t="shared" si="0"/>
        <v>-4.1237113402061993</v>
      </c>
      <c r="H9" s="24">
        <f t="shared" si="2"/>
        <v>0</v>
      </c>
      <c r="I9" s="20">
        <v>1.5</v>
      </c>
      <c r="J9" s="14">
        <v>0</v>
      </c>
      <c r="K9" s="310">
        <f t="shared" si="1"/>
        <v>0.5</v>
      </c>
    </row>
    <row r="10" spans="1:11" x14ac:dyDescent="0.2">
      <c r="A10" s="8"/>
      <c r="B10" s="15"/>
      <c r="C10" s="15"/>
      <c r="D10" s="16">
        <v>19</v>
      </c>
      <c r="E10" s="17">
        <v>20.5</v>
      </c>
      <c r="F10" s="18">
        <f t="shared" si="3"/>
        <v>105.67010309278351</v>
      </c>
      <c r="G10" s="18">
        <f t="shared" si="0"/>
        <v>-5.6701030927835063</v>
      </c>
      <c r="H10" s="24">
        <f t="shared" si="2"/>
        <v>0</v>
      </c>
      <c r="I10" s="20">
        <v>3</v>
      </c>
      <c r="J10" s="14">
        <v>0</v>
      </c>
      <c r="K10" s="310">
        <f t="shared" si="1"/>
        <v>1</v>
      </c>
    </row>
    <row r="11" spans="1:11" x14ac:dyDescent="0.2">
      <c r="A11" s="8"/>
      <c r="B11" s="15"/>
      <c r="C11" s="15"/>
      <c r="D11" s="16">
        <v>22</v>
      </c>
      <c r="E11" s="17">
        <v>20.399999999999999</v>
      </c>
      <c r="F11" s="18">
        <f t="shared" si="3"/>
        <v>105.15463917525774</v>
      </c>
      <c r="G11" s="18">
        <f t="shared" si="0"/>
        <v>-5.1546391752577421</v>
      </c>
      <c r="H11" s="24">
        <f t="shared" si="2"/>
        <v>0</v>
      </c>
      <c r="I11" s="20">
        <v>2</v>
      </c>
      <c r="J11" s="14">
        <v>0</v>
      </c>
      <c r="K11" s="311">
        <f t="shared" si="1"/>
        <v>0.66666666666666663</v>
      </c>
    </row>
    <row r="12" spans="1:11" x14ac:dyDescent="0.2">
      <c r="A12" s="8"/>
      <c r="B12" s="15"/>
      <c r="C12" s="15"/>
      <c r="D12" s="16">
        <v>24</v>
      </c>
      <c r="E12" s="17">
        <v>21</v>
      </c>
      <c r="F12" s="18">
        <f t="shared" si="3"/>
        <v>108.24742268041238</v>
      </c>
      <c r="G12" s="18">
        <f t="shared" si="0"/>
        <v>-8.2474226804123845</v>
      </c>
      <c r="H12" s="24">
        <f t="shared" si="2"/>
        <v>0</v>
      </c>
      <c r="I12" s="20">
        <v>2</v>
      </c>
      <c r="J12" s="14">
        <v>0</v>
      </c>
      <c r="K12" s="311">
        <f t="shared" si="1"/>
        <v>0.66666666666666663</v>
      </c>
    </row>
    <row r="13" spans="1:11" x14ac:dyDescent="0.2">
      <c r="A13" s="8"/>
      <c r="B13" s="26"/>
      <c r="C13" s="26"/>
      <c r="D13" s="27">
        <v>26</v>
      </c>
      <c r="E13" s="28">
        <v>21.3</v>
      </c>
      <c r="F13" s="29">
        <f t="shared" si="3"/>
        <v>109.79381443298971</v>
      </c>
      <c r="G13" s="29">
        <f t="shared" si="0"/>
        <v>-9.7938144329897057</v>
      </c>
      <c r="H13" s="24">
        <f t="shared" si="2"/>
        <v>0</v>
      </c>
      <c r="I13" s="31">
        <v>1</v>
      </c>
      <c r="J13" s="14">
        <v>0</v>
      </c>
      <c r="K13" s="311">
        <f t="shared" si="1"/>
        <v>0.33333333333333331</v>
      </c>
    </row>
    <row r="14" spans="1:11" x14ac:dyDescent="0.2">
      <c r="A14" s="8"/>
      <c r="B14" s="26"/>
      <c r="C14" s="26"/>
      <c r="D14" s="27">
        <v>29</v>
      </c>
      <c r="E14" s="28">
        <v>21.4</v>
      </c>
      <c r="F14" s="29">
        <f t="shared" si="3"/>
        <v>110.30927835051547</v>
      </c>
      <c r="G14" s="29">
        <f t="shared" si="0"/>
        <v>-10.30927835051547</v>
      </c>
      <c r="H14" s="24">
        <f t="shared" si="2"/>
        <v>0</v>
      </c>
      <c r="I14" s="31">
        <v>1</v>
      </c>
      <c r="J14" s="14">
        <v>0</v>
      </c>
      <c r="K14" s="311">
        <f t="shared" si="1"/>
        <v>0.33333333333333331</v>
      </c>
    </row>
    <row r="15" spans="1:11" x14ac:dyDescent="0.2">
      <c r="A15" s="8"/>
      <c r="B15" s="9"/>
      <c r="C15" s="9" t="s">
        <v>15</v>
      </c>
      <c r="D15" s="10">
        <v>31</v>
      </c>
      <c r="E15" s="11">
        <v>21</v>
      </c>
      <c r="F15" s="12">
        <f>E15/$E$2*100</f>
        <v>108.24742268041238</v>
      </c>
      <c r="G15" s="12">
        <f t="shared" si="0"/>
        <v>-8.2474226804123845</v>
      </c>
      <c r="H15" s="24">
        <f t="shared" si="2"/>
        <v>0</v>
      </c>
      <c r="I15" s="14">
        <v>1.5</v>
      </c>
      <c r="J15" s="14">
        <v>0</v>
      </c>
      <c r="K15" s="311">
        <f t="shared" si="1"/>
        <v>0.5</v>
      </c>
    </row>
    <row r="16" spans="1:11" x14ac:dyDescent="0.2">
      <c r="A16" s="8"/>
      <c r="B16" s="15"/>
      <c r="C16" s="15"/>
      <c r="D16" s="16">
        <v>33</v>
      </c>
      <c r="E16" s="11">
        <v>21.5</v>
      </c>
      <c r="F16" s="18">
        <f>E16/$E$2*100</f>
        <v>110.82474226804125</v>
      </c>
      <c r="G16" s="18">
        <f t="shared" si="0"/>
        <v>-10.824742268041248</v>
      </c>
      <c r="H16" s="24">
        <f t="shared" si="2"/>
        <v>0</v>
      </c>
      <c r="I16" s="14">
        <v>1.5</v>
      </c>
      <c r="J16" s="14">
        <v>0.5</v>
      </c>
      <c r="K16" s="311">
        <f t="shared" si="1"/>
        <v>0.66666666666666663</v>
      </c>
    </row>
    <row r="17" spans="1:11" x14ac:dyDescent="0.2">
      <c r="A17" s="8"/>
      <c r="B17" s="15"/>
      <c r="C17" s="15" t="s">
        <v>16</v>
      </c>
      <c r="D17" s="16">
        <v>36</v>
      </c>
      <c r="E17" s="271">
        <v>21.4</v>
      </c>
      <c r="F17" s="18">
        <f t="shared" ref="F17" si="4">E17/$E$2*100</f>
        <v>110.30927835051547</v>
      </c>
      <c r="G17" s="18">
        <f t="shared" si="0"/>
        <v>-10.30927835051547</v>
      </c>
      <c r="H17" s="24">
        <f t="shared" si="2"/>
        <v>0</v>
      </c>
      <c r="I17" s="14">
        <v>2.5</v>
      </c>
      <c r="J17" s="14">
        <v>2</v>
      </c>
      <c r="K17" s="312">
        <f t="shared" si="1"/>
        <v>1.5</v>
      </c>
    </row>
    <row r="18" spans="1:11" x14ac:dyDescent="0.2">
      <c r="A18" s="8"/>
      <c r="B18" s="15"/>
      <c r="C18" s="15"/>
      <c r="D18" s="16">
        <v>38</v>
      </c>
      <c r="E18" s="17">
        <v>21.5</v>
      </c>
      <c r="F18" s="18">
        <f>E18/$E$2*100</f>
        <v>110.82474226804125</v>
      </c>
      <c r="G18" s="18">
        <f t="shared" si="0"/>
        <v>-10.824742268041248</v>
      </c>
      <c r="H18" s="24">
        <f t="shared" si="2"/>
        <v>0</v>
      </c>
      <c r="I18" s="14">
        <v>3.5</v>
      </c>
      <c r="J18" s="14">
        <v>0</v>
      </c>
      <c r="K18" s="311">
        <f t="shared" si="1"/>
        <v>1.1666666666666667</v>
      </c>
    </row>
    <row r="19" spans="1:11" x14ac:dyDescent="0.2">
      <c r="A19" s="8"/>
      <c r="B19" s="15"/>
      <c r="C19" s="15"/>
      <c r="D19" s="16">
        <v>40</v>
      </c>
      <c r="E19" s="271"/>
      <c r="F19" s="18">
        <f t="shared" ref="F19:F29" si="5">E19/$E$2*100</f>
        <v>0</v>
      </c>
      <c r="G19" s="18">
        <f t="shared" si="0"/>
        <v>100</v>
      </c>
      <c r="H19" s="24">
        <f t="shared" si="2"/>
        <v>4</v>
      </c>
      <c r="I19" s="14"/>
      <c r="J19" s="14"/>
      <c r="K19" s="311">
        <f t="shared" si="1"/>
        <v>4</v>
      </c>
    </row>
    <row r="20" spans="1:11" x14ac:dyDescent="0.2">
      <c r="A20" s="8"/>
      <c r="B20" s="15"/>
      <c r="C20" s="15" t="s">
        <v>15</v>
      </c>
      <c r="D20" s="16">
        <v>43</v>
      </c>
      <c r="E20" s="17"/>
      <c r="F20" s="18">
        <f t="shared" si="5"/>
        <v>0</v>
      </c>
      <c r="G20" s="18">
        <f t="shared" si="0"/>
        <v>100</v>
      </c>
      <c r="H20" s="19">
        <f t="shared" si="2"/>
        <v>4</v>
      </c>
      <c r="I20" s="14"/>
      <c r="J20" s="14"/>
      <c r="K20" s="311">
        <f t="shared" si="1"/>
        <v>4</v>
      </c>
    </row>
    <row r="21" spans="1:11" x14ac:dyDescent="0.2">
      <c r="A21" s="8"/>
      <c r="B21" s="15"/>
      <c r="C21" s="15"/>
      <c r="D21" s="16">
        <v>45</v>
      </c>
      <c r="E21" s="17"/>
      <c r="F21" s="18">
        <f t="shared" si="5"/>
        <v>0</v>
      </c>
      <c r="G21" s="18">
        <f t="shared" si="0"/>
        <v>100</v>
      </c>
      <c r="H21" s="19">
        <f t="shared" si="2"/>
        <v>4</v>
      </c>
      <c r="I21" s="14"/>
      <c r="J21" s="14"/>
      <c r="K21" s="311">
        <f t="shared" si="1"/>
        <v>4</v>
      </c>
    </row>
    <row r="22" spans="1:11" x14ac:dyDescent="0.2">
      <c r="A22" s="8"/>
      <c r="B22" s="26"/>
      <c r="C22" s="26"/>
      <c r="D22" s="27">
        <v>47</v>
      </c>
      <c r="E22" s="28"/>
      <c r="F22" s="29">
        <f t="shared" si="5"/>
        <v>0</v>
      </c>
      <c r="G22" s="29">
        <f t="shared" si="0"/>
        <v>100</v>
      </c>
      <c r="H22" s="30">
        <f t="shared" si="2"/>
        <v>4</v>
      </c>
      <c r="I22" s="74"/>
      <c r="J22" s="14"/>
      <c r="K22" s="311">
        <f t="shared" si="1"/>
        <v>4</v>
      </c>
    </row>
    <row r="23" spans="1:11" x14ac:dyDescent="0.2">
      <c r="A23" s="8"/>
      <c r="B23" s="26"/>
      <c r="C23" s="26" t="s">
        <v>16</v>
      </c>
      <c r="D23" s="27">
        <v>50</v>
      </c>
      <c r="E23" s="28"/>
      <c r="F23" s="29">
        <f t="shared" si="5"/>
        <v>0</v>
      </c>
      <c r="G23" s="29">
        <f t="shared" si="0"/>
        <v>100</v>
      </c>
      <c r="H23" s="30">
        <f t="shared" si="2"/>
        <v>4</v>
      </c>
      <c r="I23" s="75"/>
      <c r="J23" s="14"/>
      <c r="K23" s="311">
        <f t="shared" si="1"/>
        <v>4</v>
      </c>
    </row>
    <row r="24" spans="1:11" x14ac:dyDescent="0.2">
      <c r="A24" s="8"/>
      <c r="B24" s="26"/>
      <c r="C24" s="26"/>
      <c r="D24" s="27">
        <v>52</v>
      </c>
      <c r="E24" s="28"/>
      <c r="F24" s="29">
        <f t="shared" si="5"/>
        <v>0</v>
      </c>
      <c r="G24" s="29">
        <f t="shared" si="0"/>
        <v>100</v>
      </c>
      <c r="H24" s="30">
        <f t="shared" si="2"/>
        <v>4</v>
      </c>
      <c r="I24" s="75"/>
      <c r="J24" s="14"/>
      <c r="K24" s="311">
        <f t="shared" si="1"/>
        <v>4</v>
      </c>
    </row>
    <row r="25" spans="1:11" x14ac:dyDescent="0.2">
      <c r="A25" s="8"/>
      <c r="B25" s="26"/>
      <c r="C25" s="26"/>
      <c r="D25" s="27">
        <v>54</v>
      </c>
      <c r="E25" s="28"/>
      <c r="F25" s="29">
        <f t="shared" si="5"/>
        <v>0</v>
      </c>
      <c r="G25" s="29">
        <f t="shared" si="0"/>
        <v>100</v>
      </c>
      <c r="H25" s="30">
        <f t="shared" si="2"/>
        <v>4</v>
      </c>
      <c r="I25" s="75"/>
      <c r="J25" s="14"/>
      <c r="K25" s="311">
        <f t="shared" si="1"/>
        <v>4</v>
      </c>
    </row>
    <row r="26" spans="1:11" x14ac:dyDescent="0.2">
      <c r="A26" s="8"/>
      <c r="B26" s="26"/>
      <c r="C26" s="26" t="s">
        <v>15</v>
      </c>
      <c r="D26" s="27">
        <v>57</v>
      </c>
      <c r="E26" s="28"/>
      <c r="F26" s="29">
        <f t="shared" si="5"/>
        <v>0</v>
      </c>
      <c r="G26" s="29">
        <f t="shared" si="0"/>
        <v>100</v>
      </c>
      <c r="H26" s="30">
        <f t="shared" si="2"/>
        <v>4</v>
      </c>
      <c r="I26" s="75"/>
      <c r="J26" s="14"/>
      <c r="K26" s="311">
        <f t="shared" si="1"/>
        <v>4</v>
      </c>
    </row>
    <row r="27" spans="1:11" x14ac:dyDescent="0.2">
      <c r="A27" s="8"/>
      <c r="B27" s="26"/>
      <c r="C27" s="26"/>
      <c r="D27" s="27">
        <v>59</v>
      </c>
      <c r="E27" s="28"/>
      <c r="F27" s="29">
        <f t="shared" si="5"/>
        <v>0</v>
      </c>
      <c r="G27" s="29">
        <f t="shared" si="0"/>
        <v>100</v>
      </c>
      <c r="H27" s="30">
        <f t="shared" si="2"/>
        <v>4</v>
      </c>
      <c r="I27" s="75"/>
      <c r="J27" s="14"/>
      <c r="K27" s="311">
        <f t="shared" si="1"/>
        <v>4</v>
      </c>
    </row>
    <row r="28" spans="1:11" x14ac:dyDescent="0.2">
      <c r="A28" s="8"/>
      <c r="B28" s="26"/>
      <c r="C28" s="26"/>
      <c r="D28" s="27">
        <v>61</v>
      </c>
      <c r="E28" s="28"/>
      <c r="F28" s="29">
        <f t="shared" si="5"/>
        <v>0</v>
      </c>
      <c r="G28" s="29">
        <f t="shared" si="0"/>
        <v>100</v>
      </c>
      <c r="H28" s="30">
        <f t="shared" si="2"/>
        <v>4</v>
      </c>
      <c r="I28" s="75"/>
      <c r="J28" s="14"/>
      <c r="K28" s="311">
        <f t="shared" si="1"/>
        <v>4</v>
      </c>
    </row>
    <row r="29" spans="1:11" ht="17" thickBot="1" x14ac:dyDescent="0.25">
      <c r="A29" s="8"/>
      <c r="B29" s="32"/>
      <c r="C29" s="32"/>
      <c r="D29" s="33">
        <v>64</v>
      </c>
      <c r="E29" s="34"/>
      <c r="F29" s="35">
        <f t="shared" si="5"/>
        <v>0</v>
      </c>
      <c r="G29" s="35">
        <f t="shared" si="0"/>
        <v>100</v>
      </c>
      <c r="H29" s="36">
        <f t="shared" si="2"/>
        <v>4</v>
      </c>
      <c r="I29" s="304"/>
      <c r="J29" s="305"/>
      <c r="K29" s="313">
        <f t="shared" si="1"/>
        <v>4</v>
      </c>
    </row>
    <row r="30" spans="1:11" x14ac:dyDescent="0.2">
      <c r="A30" s="8" t="s">
        <v>20</v>
      </c>
      <c r="B30" s="299" t="s">
        <v>1</v>
      </c>
      <c r="C30" s="299" t="s">
        <v>21</v>
      </c>
      <c r="D30" s="10">
        <v>1</v>
      </c>
      <c r="E30" s="37">
        <v>20.3</v>
      </c>
      <c r="F30" s="301">
        <v>100</v>
      </c>
      <c r="G30" s="301">
        <f t="shared" si="0"/>
        <v>0</v>
      </c>
      <c r="H30" s="302">
        <f t="shared" si="2"/>
        <v>0</v>
      </c>
      <c r="I30" s="303">
        <v>0</v>
      </c>
      <c r="J30" s="303">
        <v>0</v>
      </c>
      <c r="K30" s="302">
        <f t="shared" si="1"/>
        <v>0</v>
      </c>
    </row>
    <row r="31" spans="1:11" x14ac:dyDescent="0.2">
      <c r="A31" s="8"/>
      <c r="B31" s="15"/>
      <c r="C31" s="15"/>
      <c r="D31" s="16">
        <v>3</v>
      </c>
      <c r="E31" s="38">
        <v>19.399999999999999</v>
      </c>
      <c r="F31" s="18">
        <f t="shared" ref="F31:F54" si="6">E31/$E$30*100</f>
        <v>95.566502463054178</v>
      </c>
      <c r="G31" s="18">
        <f t="shared" si="0"/>
        <v>4.433497536945822</v>
      </c>
      <c r="H31" s="19">
        <f t="shared" si="2"/>
        <v>1</v>
      </c>
      <c r="I31" s="20">
        <v>2</v>
      </c>
      <c r="J31" s="14">
        <v>0</v>
      </c>
      <c r="K31" s="19">
        <f t="shared" si="1"/>
        <v>1</v>
      </c>
    </row>
    <row r="32" spans="1:11" x14ac:dyDescent="0.2">
      <c r="A32" s="8"/>
      <c r="B32" s="15"/>
      <c r="C32" s="15"/>
      <c r="D32" s="16">
        <v>5</v>
      </c>
      <c r="E32" s="38">
        <v>21.5</v>
      </c>
      <c r="F32" s="18">
        <f t="shared" si="6"/>
        <v>105.91133004926108</v>
      </c>
      <c r="G32" s="18">
        <f t="shared" si="0"/>
        <v>-5.9113300492610819</v>
      </c>
      <c r="H32" s="19">
        <f t="shared" si="2"/>
        <v>0</v>
      </c>
      <c r="I32" s="20">
        <v>1</v>
      </c>
      <c r="J32" s="14">
        <v>0</v>
      </c>
      <c r="K32" s="19">
        <f t="shared" si="1"/>
        <v>0.33333333333333331</v>
      </c>
    </row>
    <row r="33" spans="1:11" x14ac:dyDescent="0.2">
      <c r="A33" s="8"/>
      <c r="B33" s="15"/>
      <c r="C33" s="15"/>
      <c r="D33" s="16">
        <v>8</v>
      </c>
      <c r="E33" s="39">
        <v>22.4</v>
      </c>
      <c r="F33" s="18">
        <f t="shared" si="6"/>
        <v>110.34482758620689</v>
      </c>
      <c r="G33" s="18">
        <f t="shared" si="0"/>
        <v>-10.34482758620689</v>
      </c>
      <c r="H33" s="19">
        <f t="shared" si="2"/>
        <v>0</v>
      </c>
      <c r="I33" s="20">
        <v>2</v>
      </c>
      <c r="J33" s="14">
        <v>0</v>
      </c>
      <c r="K33" s="19">
        <f t="shared" si="1"/>
        <v>0.66666666666666663</v>
      </c>
    </row>
    <row r="34" spans="1:11" x14ac:dyDescent="0.2">
      <c r="A34" s="8"/>
      <c r="B34" s="15"/>
      <c r="C34" s="15"/>
      <c r="D34" s="16">
        <v>10</v>
      </c>
      <c r="E34" s="39">
        <v>23.3</v>
      </c>
      <c r="F34" s="18">
        <f t="shared" si="6"/>
        <v>114.77832512315271</v>
      </c>
      <c r="G34" s="18">
        <f t="shared" si="0"/>
        <v>-14.778325123152712</v>
      </c>
      <c r="H34" s="19">
        <f t="shared" si="2"/>
        <v>0</v>
      </c>
      <c r="I34" s="20">
        <v>3.5</v>
      </c>
      <c r="J34" s="14">
        <v>0</v>
      </c>
      <c r="K34" s="19">
        <f t="shared" si="1"/>
        <v>1.1666666666666667</v>
      </c>
    </row>
    <row r="35" spans="1:11" x14ac:dyDescent="0.2">
      <c r="A35" s="8"/>
      <c r="B35" s="15"/>
      <c r="C35" s="15"/>
      <c r="D35" s="16">
        <v>12</v>
      </c>
      <c r="E35" s="39">
        <v>22.8</v>
      </c>
      <c r="F35" s="18">
        <f t="shared" si="6"/>
        <v>112.31527093596058</v>
      </c>
      <c r="G35" s="18">
        <f t="shared" si="0"/>
        <v>-12.315270935960584</v>
      </c>
      <c r="H35" s="19">
        <f t="shared" si="2"/>
        <v>0</v>
      </c>
      <c r="I35" s="20">
        <v>2.5</v>
      </c>
      <c r="J35" s="14">
        <v>0</v>
      </c>
      <c r="K35" s="19">
        <f t="shared" si="1"/>
        <v>0.83333333333333337</v>
      </c>
    </row>
    <row r="36" spans="1:11" x14ac:dyDescent="0.2">
      <c r="A36" s="8"/>
      <c r="B36" s="21"/>
      <c r="C36" s="21" t="s">
        <v>4</v>
      </c>
      <c r="D36" s="22">
        <v>15</v>
      </c>
      <c r="E36" s="39">
        <v>22.7</v>
      </c>
      <c r="F36" s="18">
        <f t="shared" si="6"/>
        <v>111.82266009852215</v>
      </c>
      <c r="G36" s="23">
        <f t="shared" si="0"/>
        <v>-11.822660098522149</v>
      </c>
      <c r="H36" s="24">
        <f t="shared" si="2"/>
        <v>0</v>
      </c>
      <c r="I36" s="25">
        <v>3.5</v>
      </c>
      <c r="J36" s="14">
        <v>0</v>
      </c>
      <c r="K36" s="19">
        <f t="shared" si="1"/>
        <v>1.1666666666666667</v>
      </c>
    </row>
    <row r="37" spans="1:11" x14ac:dyDescent="0.2">
      <c r="A37" s="8"/>
      <c r="B37" s="15"/>
      <c r="C37" s="15" t="s">
        <v>3</v>
      </c>
      <c r="D37" s="16">
        <v>17</v>
      </c>
      <c r="E37" s="17">
        <v>22.6</v>
      </c>
      <c r="F37" s="18">
        <f t="shared" si="6"/>
        <v>111.33004926108374</v>
      </c>
      <c r="G37" s="18">
        <f t="shared" si="0"/>
        <v>-11.330049261083744</v>
      </c>
      <c r="H37" s="24">
        <f t="shared" si="2"/>
        <v>0</v>
      </c>
      <c r="I37" s="20">
        <v>3.5</v>
      </c>
      <c r="J37" s="14">
        <v>0.5</v>
      </c>
      <c r="K37" s="76">
        <f t="shared" si="1"/>
        <v>1.3333333333333333</v>
      </c>
    </row>
    <row r="38" spans="1:11" x14ac:dyDescent="0.2">
      <c r="A38" s="8"/>
      <c r="B38" s="15"/>
      <c r="C38" s="15"/>
      <c r="D38" s="16">
        <v>19</v>
      </c>
      <c r="E38" s="17">
        <v>22.8</v>
      </c>
      <c r="F38" s="18">
        <f t="shared" si="6"/>
        <v>112.31527093596058</v>
      </c>
      <c r="G38" s="18">
        <f t="shared" si="0"/>
        <v>-12.315270935960584</v>
      </c>
      <c r="H38" s="24">
        <f t="shared" si="2"/>
        <v>0</v>
      </c>
      <c r="I38" s="20">
        <v>2.5</v>
      </c>
      <c r="J38" s="14">
        <v>0</v>
      </c>
      <c r="K38" s="77">
        <f t="shared" si="1"/>
        <v>0.83333333333333337</v>
      </c>
    </row>
    <row r="39" spans="1:11" x14ac:dyDescent="0.2">
      <c r="A39" s="8"/>
      <c r="B39" s="15"/>
      <c r="C39" s="15"/>
      <c r="D39" s="16">
        <v>22</v>
      </c>
      <c r="E39" s="17">
        <v>22.2</v>
      </c>
      <c r="F39" s="18">
        <f t="shared" si="6"/>
        <v>109.35960591133005</v>
      </c>
      <c r="G39" s="18">
        <f t="shared" si="0"/>
        <v>-9.3596059113300498</v>
      </c>
      <c r="H39" s="24">
        <f t="shared" si="2"/>
        <v>0</v>
      </c>
      <c r="I39" s="20">
        <v>1.5</v>
      </c>
      <c r="J39" s="14">
        <v>0</v>
      </c>
      <c r="K39" s="77">
        <f t="shared" si="1"/>
        <v>0.5</v>
      </c>
    </row>
    <row r="40" spans="1:11" x14ac:dyDescent="0.2">
      <c r="A40" s="8"/>
      <c r="B40" s="15"/>
      <c r="C40" s="15"/>
      <c r="D40" s="16">
        <v>24</v>
      </c>
      <c r="E40" s="17">
        <v>22.9</v>
      </c>
      <c r="F40" s="18">
        <f t="shared" si="6"/>
        <v>112.807881773399</v>
      </c>
      <c r="G40" s="18">
        <f t="shared" si="0"/>
        <v>-12.807881773399004</v>
      </c>
      <c r="H40" s="24">
        <f t="shared" si="2"/>
        <v>0</v>
      </c>
      <c r="I40" s="20">
        <v>1</v>
      </c>
      <c r="J40" s="14">
        <v>0</v>
      </c>
      <c r="K40" s="77">
        <f t="shared" si="1"/>
        <v>0.33333333333333331</v>
      </c>
    </row>
    <row r="41" spans="1:11" x14ac:dyDescent="0.2">
      <c r="A41" s="8"/>
      <c r="B41" s="26"/>
      <c r="C41" s="26"/>
      <c r="D41" s="27">
        <v>26</v>
      </c>
      <c r="E41" s="28">
        <v>22.9</v>
      </c>
      <c r="F41" s="18">
        <f t="shared" si="6"/>
        <v>112.807881773399</v>
      </c>
      <c r="G41" s="29">
        <f t="shared" si="0"/>
        <v>-12.807881773399004</v>
      </c>
      <c r="H41" s="24">
        <f t="shared" si="2"/>
        <v>0</v>
      </c>
      <c r="I41" s="31">
        <v>0.5</v>
      </c>
      <c r="J41" s="14">
        <v>0</v>
      </c>
      <c r="K41" s="77">
        <f t="shared" si="1"/>
        <v>0.16666666666666666</v>
      </c>
    </row>
    <row r="42" spans="1:11" x14ac:dyDescent="0.2">
      <c r="A42" s="8"/>
      <c r="B42" s="26"/>
      <c r="C42" s="26"/>
      <c r="D42" s="27">
        <v>29</v>
      </c>
      <c r="E42" s="28">
        <v>23.3</v>
      </c>
      <c r="F42" s="18">
        <f t="shared" si="6"/>
        <v>114.77832512315271</v>
      </c>
      <c r="G42" s="29">
        <f t="shared" si="0"/>
        <v>-14.778325123152712</v>
      </c>
      <c r="H42" s="24">
        <f t="shared" si="2"/>
        <v>0</v>
      </c>
      <c r="I42" s="31">
        <v>2</v>
      </c>
      <c r="J42" s="14">
        <v>0</v>
      </c>
      <c r="K42" s="77">
        <f t="shared" si="1"/>
        <v>0.66666666666666663</v>
      </c>
    </row>
    <row r="43" spans="1:11" x14ac:dyDescent="0.2">
      <c r="A43" s="8"/>
      <c r="B43" s="9"/>
      <c r="C43" s="9" t="s">
        <v>15</v>
      </c>
      <c r="D43" s="10">
        <v>31</v>
      </c>
      <c r="E43" s="11">
        <v>23.7</v>
      </c>
      <c r="F43" s="18">
        <f t="shared" si="6"/>
        <v>116.74876847290641</v>
      </c>
      <c r="G43" s="12">
        <f t="shared" si="0"/>
        <v>-16.748768472906406</v>
      </c>
      <c r="H43" s="24">
        <f t="shared" si="2"/>
        <v>0</v>
      </c>
      <c r="I43" s="14">
        <v>2.5</v>
      </c>
      <c r="J43" s="14">
        <v>0</v>
      </c>
      <c r="K43" s="77">
        <f t="shared" si="1"/>
        <v>0.83333333333333337</v>
      </c>
    </row>
    <row r="44" spans="1:11" x14ac:dyDescent="0.2">
      <c r="A44" s="8"/>
      <c r="B44" s="15"/>
      <c r="C44" s="15"/>
      <c r="D44" s="16">
        <v>33</v>
      </c>
      <c r="E44" s="11">
        <v>23.3</v>
      </c>
      <c r="F44" s="18">
        <f t="shared" si="6"/>
        <v>114.77832512315271</v>
      </c>
      <c r="G44" s="18">
        <f t="shared" si="0"/>
        <v>-14.778325123152712</v>
      </c>
      <c r="H44" s="24">
        <f t="shared" si="2"/>
        <v>0</v>
      </c>
      <c r="I44" s="14">
        <v>1.5</v>
      </c>
      <c r="J44" s="14">
        <v>1.5</v>
      </c>
      <c r="K44" s="77">
        <f t="shared" si="1"/>
        <v>1</v>
      </c>
    </row>
    <row r="45" spans="1:11" x14ac:dyDescent="0.2">
      <c r="A45" s="8"/>
      <c r="B45" s="15"/>
      <c r="C45" s="15" t="s">
        <v>16</v>
      </c>
      <c r="D45" s="16">
        <v>36</v>
      </c>
      <c r="E45" s="17">
        <v>23.6</v>
      </c>
      <c r="F45" s="18">
        <f t="shared" si="6"/>
        <v>116.256157635468</v>
      </c>
      <c r="G45" s="18">
        <f t="shared" si="0"/>
        <v>-16.256157635468</v>
      </c>
      <c r="H45" s="24">
        <f t="shared" si="2"/>
        <v>0</v>
      </c>
      <c r="I45" s="14">
        <v>2.5</v>
      </c>
      <c r="J45" s="14">
        <v>2.5</v>
      </c>
      <c r="K45" s="270">
        <f t="shared" si="1"/>
        <v>1.6666666666666667</v>
      </c>
    </row>
    <row r="46" spans="1:11" x14ac:dyDescent="0.2">
      <c r="A46" s="8"/>
      <c r="B46" s="15"/>
      <c r="C46" s="15"/>
      <c r="D46" s="16">
        <v>38</v>
      </c>
      <c r="E46" s="17">
        <v>23.3</v>
      </c>
      <c r="F46" s="18">
        <f t="shared" si="6"/>
        <v>114.77832512315271</v>
      </c>
      <c r="G46" s="18">
        <f t="shared" si="0"/>
        <v>-14.778325123152712</v>
      </c>
      <c r="H46" s="24">
        <f t="shared" si="2"/>
        <v>0</v>
      </c>
      <c r="I46" s="14">
        <v>2.5</v>
      </c>
      <c r="J46" s="14">
        <v>1</v>
      </c>
      <c r="K46" s="77">
        <f t="shared" si="1"/>
        <v>1.1666666666666667</v>
      </c>
    </row>
    <row r="47" spans="1:11" x14ac:dyDescent="0.2">
      <c r="A47" s="8"/>
      <c r="B47" s="15"/>
      <c r="C47" s="15"/>
      <c r="D47" s="16">
        <v>40</v>
      </c>
      <c r="E47" s="17"/>
      <c r="F47" s="18">
        <f t="shared" si="6"/>
        <v>0</v>
      </c>
      <c r="G47" s="18">
        <f t="shared" si="0"/>
        <v>100</v>
      </c>
      <c r="H47" s="24">
        <f t="shared" si="2"/>
        <v>4</v>
      </c>
      <c r="I47" s="14"/>
      <c r="J47" s="14"/>
      <c r="K47" s="77">
        <f t="shared" si="1"/>
        <v>4</v>
      </c>
    </row>
    <row r="48" spans="1:11" x14ac:dyDescent="0.2">
      <c r="A48" s="8"/>
      <c r="B48" s="15"/>
      <c r="C48" s="15" t="s">
        <v>15</v>
      </c>
      <c r="D48" s="16">
        <v>43</v>
      </c>
      <c r="E48" s="17"/>
      <c r="F48" s="18">
        <f t="shared" si="6"/>
        <v>0</v>
      </c>
      <c r="G48" s="18">
        <f t="shared" si="0"/>
        <v>100</v>
      </c>
      <c r="H48" s="19">
        <f t="shared" si="2"/>
        <v>4</v>
      </c>
      <c r="I48" s="14"/>
      <c r="J48" s="14"/>
      <c r="K48" s="77">
        <f t="shared" si="1"/>
        <v>4</v>
      </c>
    </row>
    <row r="49" spans="1:11" x14ac:dyDescent="0.2">
      <c r="A49" s="8"/>
      <c r="B49" s="15"/>
      <c r="C49" s="15"/>
      <c r="D49" s="16">
        <v>45</v>
      </c>
      <c r="E49" s="17"/>
      <c r="F49" s="18">
        <f t="shared" si="6"/>
        <v>0</v>
      </c>
      <c r="G49" s="18">
        <f t="shared" si="0"/>
        <v>100</v>
      </c>
      <c r="H49" s="19">
        <f t="shared" si="2"/>
        <v>4</v>
      </c>
      <c r="I49" s="14"/>
      <c r="J49" s="14"/>
      <c r="K49" s="77">
        <f t="shared" si="1"/>
        <v>4</v>
      </c>
    </row>
    <row r="50" spans="1:11" x14ac:dyDescent="0.2">
      <c r="A50" s="8"/>
      <c r="B50" s="26"/>
      <c r="C50" s="26"/>
      <c r="D50" s="27">
        <v>47</v>
      </c>
      <c r="E50" s="273"/>
      <c r="F50" s="29">
        <f t="shared" si="6"/>
        <v>0</v>
      </c>
      <c r="G50" s="29">
        <f t="shared" si="0"/>
        <v>100</v>
      </c>
      <c r="H50" s="30">
        <f t="shared" si="2"/>
        <v>4</v>
      </c>
      <c r="I50" s="74"/>
      <c r="J50" s="14"/>
      <c r="K50" s="77">
        <f t="shared" si="1"/>
        <v>4</v>
      </c>
    </row>
    <row r="51" spans="1:11" x14ac:dyDescent="0.2">
      <c r="A51" s="8"/>
      <c r="B51" s="26"/>
      <c r="C51" s="26" t="s">
        <v>16</v>
      </c>
      <c r="D51" s="27">
        <v>50</v>
      </c>
      <c r="E51" s="28"/>
      <c r="F51" s="29">
        <f t="shared" si="6"/>
        <v>0</v>
      </c>
      <c r="G51" s="29">
        <f t="shared" si="0"/>
        <v>100</v>
      </c>
      <c r="H51" s="30">
        <f t="shared" si="2"/>
        <v>4</v>
      </c>
      <c r="I51" s="75"/>
      <c r="J51" s="14"/>
      <c r="K51" s="77">
        <f t="shared" si="1"/>
        <v>4</v>
      </c>
    </row>
    <row r="52" spans="1:11" x14ac:dyDescent="0.2">
      <c r="A52" s="8"/>
      <c r="B52" s="26"/>
      <c r="C52" s="26"/>
      <c r="D52" s="27">
        <v>52</v>
      </c>
      <c r="E52" s="28"/>
      <c r="F52" s="29">
        <f t="shared" si="6"/>
        <v>0</v>
      </c>
      <c r="G52" s="29">
        <f t="shared" si="0"/>
        <v>100</v>
      </c>
      <c r="H52" s="30">
        <f t="shared" si="2"/>
        <v>4</v>
      </c>
      <c r="I52" s="75"/>
      <c r="J52" s="14"/>
      <c r="K52" s="77">
        <f t="shared" si="1"/>
        <v>4</v>
      </c>
    </row>
    <row r="53" spans="1:11" x14ac:dyDescent="0.2">
      <c r="A53" s="8"/>
      <c r="B53" s="26"/>
      <c r="C53" s="26"/>
      <c r="D53" s="27">
        <v>54</v>
      </c>
      <c r="E53" s="28"/>
      <c r="F53" s="29">
        <f t="shared" si="6"/>
        <v>0</v>
      </c>
      <c r="G53" s="29">
        <f t="shared" si="0"/>
        <v>100</v>
      </c>
      <c r="H53" s="30">
        <f t="shared" si="2"/>
        <v>4</v>
      </c>
      <c r="I53" s="75"/>
      <c r="J53" s="14"/>
      <c r="K53" s="77">
        <f t="shared" si="1"/>
        <v>4</v>
      </c>
    </row>
    <row r="54" spans="1:11" x14ac:dyDescent="0.2">
      <c r="A54" s="8"/>
      <c r="B54" s="26"/>
      <c r="C54" s="26" t="s">
        <v>15</v>
      </c>
      <c r="D54" s="27">
        <v>57</v>
      </c>
      <c r="E54" s="28"/>
      <c r="F54" s="29">
        <f t="shared" si="6"/>
        <v>0</v>
      </c>
      <c r="G54" s="29">
        <f t="shared" si="0"/>
        <v>100</v>
      </c>
      <c r="H54" s="30">
        <f t="shared" si="2"/>
        <v>4</v>
      </c>
      <c r="I54" s="75"/>
      <c r="J54" s="14"/>
      <c r="K54" s="77">
        <f t="shared" si="1"/>
        <v>4</v>
      </c>
    </row>
    <row r="55" spans="1:11" x14ac:dyDescent="0.2">
      <c r="A55" s="8"/>
      <c r="B55" s="26"/>
      <c r="C55" s="26"/>
      <c r="D55" s="27">
        <v>59</v>
      </c>
      <c r="E55" s="28"/>
      <c r="F55" s="29">
        <f>E55/$E$30*100</f>
        <v>0</v>
      </c>
      <c r="G55" s="29">
        <f t="shared" si="0"/>
        <v>100</v>
      </c>
      <c r="H55" s="30">
        <f t="shared" si="2"/>
        <v>4</v>
      </c>
      <c r="I55" s="75"/>
      <c r="J55" s="14"/>
      <c r="K55" s="77">
        <f t="shared" si="1"/>
        <v>4</v>
      </c>
    </row>
    <row r="56" spans="1:11" x14ac:dyDescent="0.2">
      <c r="A56" s="8"/>
      <c r="B56" s="26"/>
      <c r="C56" s="26"/>
      <c r="D56" s="27">
        <v>61</v>
      </c>
      <c r="E56" s="273"/>
      <c r="F56" s="29">
        <f>E56/$E$30*100</f>
        <v>0</v>
      </c>
      <c r="G56" s="29">
        <f>100-F56</f>
        <v>100</v>
      </c>
      <c r="H56" s="30">
        <f>IF(G56&lt;=1, 0, IF(AND(G56&gt;1, G56&lt;=5), 1, IF(AND(G56&gt;5, G56&lt;=10), 2, IF(AND(G56&gt;10, G56&lt;=15), 3, 4))))</f>
        <v>4</v>
      </c>
      <c r="I56" s="75"/>
      <c r="J56" s="14"/>
      <c r="K56" s="77">
        <f t="shared" si="1"/>
        <v>4</v>
      </c>
    </row>
    <row r="57" spans="1:11" ht="17" thickBot="1" x14ac:dyDescent="0.25">
      <c r="A57" s="8"/>
      <c r="B57" s="32"/>
      <c r="C57" s="32"/>
      <c r="D57" s="33">
        <v>64</v>
      </c>
      <c r="E57" s="34"/>
      <c r="F57" s="35">
        <f>E57/$E$30*100</f>
        <v>0</v>
      </c>
      <c r="G57" s="35">
        <f>100-F57</f>
        <v>100</v>
      </c>
      <c r="H57" s="36">
        <f>IF(G57&lt;=1, 0, IF(AND(G57&gt;1, G57&lt;=5), 1, IF(AND(G57&gt;5, G57&lt;=10), 2, IF(AND(G57&gt;10, G57&lt;=15), 3, 4))))</f>
        <v>4</v>
      </c>
      <c r="I57" s="304"/>
      <c r="J57" s="305"/>
      <c r="K57" s="316">
        <f t="shared" si="1"/>
        <v>4</v>
      </c>
    </row>
    <row r="58" spans="1:11" x14ac:dyDescent="0.2">
      <c r="A58" s="8" t="s">
        <v>20</v>
      </c>
      <c r="B58" s="72" t="s">
        <v>2</v>
      </c>
      <c r="C58" s="72" t="s">
        <v>22</v>
      </c>
      <c r="D58" s="10">
        <v>1</v>
      </c>
      <c r="E58" s="78">
        <v>22</v>
      </c>
      <c r="F58" s="79">
        <v>100</v>
      </c>
      <c r="G58" s="79">
        <f t="shared" si="0"/>
        <v>0</v>
      </c>
      <c r="H58" s="80">
        <f t="shared" si="2"/>
        <v>0</v>
      </c>
      <c r="I58" s="71">
        <v>0</v>
      </c>
      <c r="J58" s="71">
        <v>0</v>
      </c>
      <c r="K58" s="302">
        <f t="shared" si="1"/>
        <v>0</v>
      </c>
    </row>
    <row r="59" spans="1:11" x14ac:dyDescent="0.2">
      <c r="A59" s="8"/>
      <c r="B59" s="81"/>
      <c r="C59" s="81"/>
      <c r="D59" s="16">
        <v>3</v>
      </c>
      <c r="E59" s="83">
        <v>21.2</v>
      </c>
      <c r="F59" s="84">
        <f>E59/E58*100</f>
        <v>96.36363636363636</v>
      </c>
      <c r="G59" s="84">
        <f t="shared" si="0"/>
        <v>3.6363636363636402</v>
      </c>
      <c r="H59" s="85">
        <f t="shared" si="2"/>
        <v>1</v>
      </c>
      <c r="I59" s="86">
        <v>2.5</v>
      </c>
      <c r="J59" s="86">
        <v>0</v>
      </c>
      <c r="K59" s="19">
        <f t="shared" si="1"/>
        <v>1.1666666666666667</v>
      </c>
    </row>
    <row r="60" spans="1:11" x14ac:dyDescent="0.2">
      <c r="A60" s="8"/>
      <c r="B60" s="81"/>
      <c r="C60" s="81"/>
      <c r="D60" s="16">
        <v>5</v>
      </c>
      <c r="E60" s="83">
        <v>22.2</v>
      </c>
      <c r="F60" s="84">
        <f>E60/E58*100</f>
        <v>100.90909090909091</v>
      </c>
      <c r="G60" s="84">
        <f t="shared" si="0"/>
        <v>-0.90909090909090651</v>
      </c>
      <c r="H60" s="85">
        <f t="shared" si="2"/>
        <v>0</v>
      </c>
      <c r="I60" s="86">
        <v>1.5</v>
      </c>
      <c r="J60" s="86">
        <v>0</v>
      </c>
      <c r="K60" s="19">
        <f t="shared" si="1"/>
        <v>0.5</v>
      </c>
    </row>
    <row r="61" spans="1:11" x14ac:dyDescent="0.2">
      <c r="A61" s="8"/>
      <c r="B61" s="81"/>
      <c r="C61" s="81"/>
      <c r="D61" s="16">
        <v>8</v>
      </c>
      <c r="E61" s="83">
        <v>22.6</v>
      </c>
      <c r="F61" s="84">
        <f>E61/E58*100</f>
        <v>102.72727272727273</v>
      </c>
      <c r="G61" s="84">
        <f t="shared" si="0"/>
        <v>-2.7272727272727337</v>
      </c>
      <c r="H61" s="85">
        <f t="shared" si="2"/>
        <v>0</v>
      </c>
      <c r="I61" s="86">
        <v>1.5</v>
      </c>
      <c r="J61" s="86">
        <v>0</v>
      </c>
      <c r="K61" s="19">
        <f t="shared" si="1"/>
        <v>0.5</v>
      </c>
    </row>
    <row r="62" spans="1:11" x14ac:dyDescent="0.2">
      <c r="A62" s="8"/>
      <c r="B62" s="81"/>
      <c r="C62" s="81"/>
      <c r="D62" s="16">
        <v>10</v>
      </c>
      <c r="E62" s="83">
        <v>23.1</v>
      </c>
      <c r="F62" s="84">
        <f>E62/E58*100</f>
        <v>105</v>
      </c>
      <c r="G62" s="84">
        <f t="shared" si="0"/>
        <v>-5</v>
      </c>
      <c r="H62" s="85">
        <f t="shared" si="2"/>
        <v>0</v>
      </c>
      <c r="I62" s="86">
        <v>3</v>
      </c>
      <c r="J62" s="86">
        <v>0</v>
      </c>
      <c r="K62" s="19">
        <f t="shared" si="1"/>
        <v>1</v>
      </c>
    </row>
    <row r="63" spans="1:11" x14ac:dyDescent="0.2">
      <c r="A63" s="8"/>
      <c r="B63" s="81"/>
      <c r="C63" s="81"/>
      <c r="D63" s="16">
        <v>12</v>
      </c>
      <c r="E63" s="83">
        <v>23.4</v>
      </c>
      <c r="F63" s="84">
        <f>E63/E58*100</f>
        <v>106.36363636363635</v>
      </c>
      <c r="G63" s="84">
        <f t="shared" si="0"/>
        <v>-6.3636363636363455</v>
      </c>
      <c r="H63" s="85">
        <f t="shared" si="2"/>
        <v>0</v>
      </c>
      <c r="I63" s="86">
        <v>2</v>
      </c>
      <c r="J63" s="86">
        <v>0</v>
      </c>
      <c r="K63" s="19">
        <f t="shared" si="1"/>
        <v>0.66666666666666663</v>
      </c>
    </row>
    <row r="64" spans="1:11" x14ac:dyDescent="0.2">
      <c r="A64" s="8"/>
      <c r="B64" s="81"/>
      <c r="C64" s="88" t="s">
        <v>4</v>
      </c>
      <c r="D64" s="22">
        <v>15</v>
      </c>
      <c r="E64" s="263">
        <v>24.7</v>
      </c>
      <c r="F64" s="84">
        <f>E64/E58*100</f>
        <v>112.27272727272728</v>
      </c>
      <c r="G64" s="84">
        <f t="shared" si="0"/>
        <v>-12.27272727272728</v>
      </c>
      <c r="H64" s="85">
        <f t="shared" si="2"/>
        <v>0</v>
      </c>
      <c r="I64" s="86">
        <v>3</v>
      </c>
      <c r="J64" s="86">
        <v>0</v>
      </c>
      <c r="K64" s="87">
        <f t="shared" si="1"/>
        <v>1</v>
      </c>
    </row>
    <row r="65" spans="1:11" x14ac:dyDescent="0.2">
      <c r="A65" s="8"/>
      <c r="B65" s="81"/>
      <c r="C65" s="81" t="s">
        <v>3</v>
      </c>
      <c r="D65" s="16">
        <v>17</v>
      </c>
      <c r="E65" s="83">
        <v>23.6</v>
      </c>
      <c r="F65" s="84">
        <f>E65/E58*100</f>
        <v>107.27272727272728</v>
      </c>
      <c r="G65" s="84">
        <f t="shared" si="0"/>
        <v>-7.2727272727272805</v>
      </c>
      <c r="H65" s="85">
        <f t="shared" si="2"/>
        <v>0</v>
      </c>
      <c r="I65" s="86">
        <v>3.5</v>
      </c>
      <c r="J65" s="86">
        <v>0</v>
      </c>
      <c r="K65" s="87">
        <f t="shared" si="1"/>
        <v>1.1666666666666667</v>
      </c>
    </row>
    <row r="66" spans="1:11" x14ac:dyDescent="0.2">
      <c r="A66" s="8"/>
      <c r="B66" s="81"/>
      <c r="C66" s="81"/>
      <c r="D66" s="16">
        <v>19</v>
      </c>
      <c r="E66" s="83">
        <v>24.1</v>
      </c>
      <c r="F66" s="84">
        <f>E66/E58*100</f>
        <v>109.54545454545455</v>
      </c>
      <c r="G66" s="84">
        <f t="shared" si="0"/>
        <v>-9.5454545454545467</v>
      </c>
      <c r="H66" s="85">
        <f t="shared" si="2"/>
        <v>0</v>
      </c>
      <c r="I66" s="86">
        <v>2</v>
      </c>
      <c r="J66" s="86">
        <v>0</v>
      </c>
      <c r="K66" s="87">
        <f t="shared" ref="K66:K93" si="7">AVERAGE(H66:J66)</f>
        <v>0.66666666666666663</v>
      </c>
    </row>
    <row r="67" spans="1:11" x14ac:dyDescent="0.2">
      <c r="A67" s="8"/>
      <c r="B67" s="81"/>
      <c r="C67" s="81"/>
      <c r="D67" s="16">
        <v>22</v>
      </c>
      <c r="E67" s="83">
        <v>24.5</v>
      </c>
      <c r="F67" s="84">
        <f>E67/E58*100</f>
        <v>111.36363636363636</v>
      </c>
      <c r="G67" s="84">
        <f t="shared" si="0"/>
        <v>-11.36363636363636</v>
      </c>
      <c r="H67" s="85">
        <f t="shared" si="2"/>
        <v>0</v>
      </c>
      <c r="I67" s="86">
        <v>1</v>
      </c>
      <c r="J67" s="86">
        <v>0</v>
      </c>
      <c r="K67" s="87">
        <f t="shared" si="7"/>
        <v>0.33333333333333331</v>
      </c>
    </row>
    <row r="68" spans="1:11" x14ac:dyDescent="0.2">
      <c r="A68" s="8"/>
      <c r="B68" s="81"/>
      <c r="C68" s="81"/>
      <c r="D68" s="16">
        <v>24</v>
      </c>
      <c r="E68" s="83">
        <v>24.7</v>
      </c>
      <c r="F68" s="84">
        <f>E68/E58*100</f>
        <v>112.27272727272728</v>
      </c>
      <c r="G68" s="84">
        <f t="shared" si="0"/>
        <v>-12.27272727272728</v>
      </c>
      <c r="H68" s="85">
        <f t="shared" si="2"/>
        <v>0</v>
      </c>
      <c r="I68" s="86">
        <v>1.5</v>
      </c>
      <c r="J68" s="86">
        <v>0</v>
      </c>
      <c r="K68" s="87">
        <f t="shared" si="7"/>
        <v>0.5</v>
      </c>
    </row>
    <row r="69" spans="1:11" x14ac:dyDescent="0.2">
      <c r="A69" s="8"/>
      <c r="B69" s="81"/>
      <c r="C69" s="81"/>
      <c r="D69" s="27">
        <v>26</v>
      </c>
      <c r="E69" s="263">
        <v>24.4</v>
      </c>
      <c r="F69" s="84">
        <f>E69/E58*100</f>
        <v>110.90909090909091</v>
      </c>
      <c r="G69" s="84">
        <f t="shared" si="0"/>
        <v>-10.909090909090907</v>
      </c>
      <c r="H69" s="85">
        <f t="shared" si="2"/>
        <v>0</v>
      </c>
      <c r="I69" s="86">
        <v>1</v>
      </c>
      <c r="J69" s="86">
        <v>0</v>
      </c>
      <c r="K69" s="87">
        <f t="shared" si="7"/>
        <v>0.33333333333333331</v>
      </c>
    </row>
    <row r="70" spans="1:11" x14ac:dyDescent="0.2">
      <c r="A70" s="8"/>
      <c r="B70" s="81"/>
      <c r="C70" s="81"/>
      <c r="D70" s="27">
        <v>29</v>
      </c>
      <c r="E70" s="263">
        <v>24.8</v>
      </c>
      <c r="F70" s="84">
        <f>E70/E58*100</f>
        <v>112.72727272727272</v>
      </c>
      <c r="G70" s="84">
        <f t="shared" si="0"/>
        <v>-12.72727272727272</v>
      </c>
      <c r="H70" s="85">
        <f t="shared" ref="H70:H97" si="8">IF(G70&lt;=1, 0, IF(AND(G70&gt;1, G70&lt;=5), 1, IF(AND(G70&gt;5, G70&lt;=10), 2, IF(AND(G70&gt;10, G70&lt;=15), 3, 4))))</f>
        <v>0</v>
      </c>
      <c r="I70" s="86">
        <v>2</v>
      </c>
      <c r="J70" s="86">
        <v>0</v>
      </c>
      <c r="K70" s="87">
        <f t="shared" si="7"/>
        <v>0.66666666666666663</v>
      </c>
    </row>
    <row r="71" spans="1:11" x14ac:dyDescent="0.2">
      <c r="A71" s="8"/>
      <c r="B71" s="81"/>
      <c r="C71" s="81" t="s">
        <v>15</v>
      </c>
      <c r="D71" s="10">
        <v>31</v>
      </c>
      <c r="E71" s="83">
        <v>24.8</v>
      </c>
      <c r="F71" s="84">
        <f>E71/E59*100</f>
        <v>116.98113207547169</v>
      </c>
      <c r="G71" s="84">
        <f t="shared" si="0"/>
        <v>-16.981132075471692</v>
      </c>
      <c r="H71" s="85">
        <f t="shared" si="8"/>
        <v>0</v>
      </c>
      <c r="I71" s="86">
        <v>1.5</v>
      </c>
      <c r="J71" s="86">
        <v>0</v>
      </c>
      <c r="K71" s="87">
        <f t="shared" si="7"/>
        <v>0.5</v>
      </c>
    </row>
    <row r="72" spans="1:11" x14ac:dyDescent="0.2">
      <c r="A72" s="8"/>
      <c r="B72" s="81"/>
      <c r="C72" s="81"/>
      <c r="D72" s="16">
        <v>33</v>
      </c>
      <c r="E72" s="83">
        <v>25.1</v>
      </c>
      <c r="F72" s="84">
        <f>E72/E58*100</f>
        <v>114.09090909090909</v>
      </c>
      <c r="G72" s="84">
        <f t="shared" si="0"/>
        <v>-14.090909090909093</v>
      </c>
      <c r="H72" s="85">
        <f t="shared" si="8"/>
        <v>0</v>
      </c>
      <c r="I72" s="86">
        <v>2</v>
      </c>
      <c r="J72" s="86">
        <v>1</v>
      </c>
      <c r="K72" s="87">
        <f t="shared" si="7"/>
        <v>1</v>
      </c>
    </row>
    <row r="73" spans="1:11" x14ac:dyDescent="0.2">
      <c r="A73" s="8"/>
      <c r="B73" s="81"/>
      <c r="C73" s="81" t="s">
        <v>16</v>
      </c>
      <c r="D73" s="16">
        <v>36</v>
      </c>
      <c r="E73" s="83">
        <v>25.4</v>
      </c>
      <c r="F73" s="84">
        <f>E73/E58*100</f>
        <v>115.45454545454545</v>
      </c>
      <c r="G73" s="84">
        <f t="shared" si="0"/>
        <v>-15.454545454545453</v>
      </c>
      <c r="H73" s="85">
        <f t="shared" si="8"/>
        <v>0</v>
      </c>
      <c r="I73" s="86">
        <v>2</v>
      </c>
      <c r="J73" s="86">
        <v>3.5</v>
      </c>
      <c r="K73" s="87">
        <f t="shared" si="7"/>
        <v>1.8333333333333333</v>
      </c>
    </row>
    <row r="74" spans="1:11" x14ac:dyDescent="0.2">
      <c r="A74" s="8"/>
      <c r="B74" s="81"/>
      <c r="C74" s="81"/>
      <c r="D74" s="16">
        <v>38</v>
      </c>
      <c r="E74" s="83">
        <v>25</v>
      </c>
      <c r="F74" s="84">
        <f>E74/E58*100</f>
        <v>113.63636363636364</v>
      </c>
      <c r="G74" s="84">
        <f t="shared" si="0"/>
        <v>-13.63636363636364</v>
      </c>
      <c r="H74" s="85">
        <f t="shared" si="8"/>
        <v>0</v>
      </c>
      <c r="I74" s="86">
        <v>4</v>
      </c>
      <c r="J74" s="86">
        <v>0.5</v>
      </c>
      <c r="K74" s="87">
        <f t="shared" si="7"/>
        <v>1.5</v>
      </c>
    </row>
    <row r="75" spans="1:11" x14ac:dyDescent="0.2">
      <c r="A75" s="8"/>
      <c r="B75" s="81"/>
      <c r="C75" s="81"/>
      <c r="D75" s="16">
        <v>40</v>
      </c>
      <c r="E75" s="83"/>
      <c r="F75" s="84">
        <f>E75/E58*100</f>
        <v>0</v>
      </c>
      <c r="G75" s="84">
        <f t="shared" si="0"/>
        <v>100</v>
      </c>
      <c r="H75" s="85">
        <f t="shared" si="8"/>
        <v>4</v>
      </c>
      <c r="I75" s="86"/>
      <c r="J75" s="86"/>
      <c r="K75" s="87">
        <f t="shared" si="7"/>
        <v>4</v>
      </c>
    </row>
    <row r="76" spans="1:11" x14ac:dyDescent="0.2">
      <c r="A76" s="8"/>
      <c r="B76" s="81"/>
      <c r="C76" s="81" t="s">
        <v>15</v>
      </c>
      <c r="D76" s="16">
        <v>43</v>
      </c>
      <c r="E76" s="83"/>
      <c r="F76" s="84">
        <f>E76/E58*100</f>
        <v>0</v>
      </c>
      <c r="G76" s="84">
        <f t="shared" si="0"/>
        <v>100</v>
      </c>
      <c r="H76" s="85">
        <f t="shared" si="8"/>
        <v>4</v>
      </c>
      <c r="I76" s="86"/>
      <c r="J76" s="86"/>
      <c r="K76" s="87">
        <f t="shared" si="7"/>
        <v>4</v>
      </c>
    </row>
    <row r="77" spans="1:11" x14ac:dyDescent="0.2">
      <c r="A77" s="8"/>
      <c r="B77" s="81"/>
      <c r="C77" s="81"/>
      <c r="D77" s="16">
        <v>45</v>
      </c>
      <c r="E77" s="83"/>
      <c r="F77" s="84">
        <f>E77/E58*100</f>
        <v>0</v>
      </c>
      <c r="G77" s="84">
        <f t="shared" si="0"/>
        <v>100</v>
      </c>
      <c r="H77" s="85">
        <f t="shared" si="8"/>
        <v>4</v>
      </c>
      <c r="I77" s="86"/>
      <c r="J77" s="86"/>
      <c r="K77" s="87">
        <f t="shared" si="7"/>
        <v>4</v>
      </c>
    </row>
    <row r="78" spans="1:11" x14ac:dyDescent="0.2">
      <c r="A78" s="8"/>
      <c r="B78" s="81"/>
      <c r="C78" s="81"/>
      <c r="D78" s="27">
        <v>47</v>
      </c>
      <c r="E78" s="263"/>
      <c r="F78" s="84">
        <f>E78/E58*100</f>
        <v>0</v>
      </c>
      <c r="G78" s="84">
        <f t="shared" si="0"/>
        <v>100</v>
      </c>
      <c r="H78" s="85">
        <f t="shared" si="8"/>
        <v>4</v>
      </c>
      <c r="I78" s="86"/>
      <c r="J78" s="86"/>
      <c r="K78" s="87">
        <f t="shared" si="7"/>
        <v>4</v>
      </c>
    </row>
    <row r="79" spans="1:11" x14ac:dyDescent="0.2">
      <c r="A79" s="8"/>
      <c r="B79" s="81"/>
      <c r="C79" s="81" t="s">
        <v>16</v>
      </c>
      <c r="D79" s="27">
        <v>50</v>
      </c>
      <c r="E79" s="83"/>
      <c r="F79" s="84">
        <f>E79/E58*100</f>
        <v>0</v>
      </c>
      <c r="G79" s="84">
        <f t="shared" si="0"/>
        <v>100</v>
      </c>
      <c r="H79" s="85">
        <f t="shared" si="8"/>
        <v>4</v>
      </c>
      <c r="I79" s="86"/>
      <c r="J79" s="86"/>
      <c r="K79" s="87">
        <f t="shared" si="7"/>
        <v>4</v>
      </c>
    </row>
    <row r="80" spans="1:11" x14ac:dyDescent="0.2">
      <c r="A80" s="8"/>
      <c r="B80" s="81"/>
      <c r="C80" s="81"/>
      <c r="D80" s="27">
        <v>52</v>
      </c>
      <c r="E80" s="83"/>
      <c r="F80" s="84">
        <f>E80/E58*100</f>
        <v>0</v>
      </c>
      <c r="G80" s="84">
        <f t="shared" si="0"/>
        <v>100</v>
      </c>
      <c r="H80" s="85">
        <f t="shared" si="8"/>
        <v>4</v>
      </c>
      <c r="I80" s="86"/>
      <c r="J80" s="86"/>
      <c r="K80" s="87">
        <f t="shared" si="7"/>
        <v>4</v>
      </c>
    </row>
    <row r="81" spans="1:11" x14ac:dyDescent="0.2">
      <c r="A81" s="8"/>
      <c r="B81" s="81"/>
      <c r="C81" s="81"/>
      <c r="D81" s="27">
        <v>54</v>
      </c>
      <c r="E81" s="83"/>
      <c r="F81" s="84">
        <f>E81/E58*100</f>
        <v>0</v>
      </c>
      <c r="G81" s="84">
        <f t="shared" si="0"/>
        <v>100</v>
      </c>
      <c r="H81" s="85">
        <f t="shared" si="8"/>
        <v>4</v>
      </c>
      <c r="I81" s="86"/>
      <c r="J81" s="86"/>
      <c r="K81" s="87">
        <f t="shared" si="7"/>
        <v>4</v>
      </c>
    </row>
    <row r="82" spans="1:11" x14ac:dyDescent="0.2">
      <c r="A82" s="8"/>
      <c r="B82" s="81"/>
      <c r="C82" s="81" t="s">
        <v>15</v>
      </c>
      <c r="D82" s="27">
        <v>57</v>
      </c>
      <c r="E82" s="83"/>
      <c r="F82" s="84">
        <f>E82/E58*100</f>
        <v>0</v>
      </c>
      <c r="G82" s="84">
        <f t="shared" si="0"/>
        <v>100</v>
      </c>
      <c r="H82" s="85">
        <f t="shared" si="8"/>
        <v>4</v>
      </c>
      <c r="I82" s="86"/>
      <c r="J82" s="86"/>
      <c r="K82" s="87">
        <f t="shared" si="7"/>
        <v>4</v>
      </c>
    </row>
    <row r="83" spans="1:11" x14ac:dyDescent="0.2">
      <c r="A83" s="8"/>
      <c r="B83" s="81"/>
      <c r="C83" s="81"/>
      <c r="D83" s="27">
        <v>59</v>
      </c>
      <c r="E83" s="83"/>
      <c r="F83" s="84">
        <f>E83/E58*100</f>
        <v>0</v>
      </c>
      <c r="G83" s="84">
        <f t="shared" si="0"/>
        <v>100</v>
      </c>
      <c r="H83" s="85">
        <f t="shared" si="8"/>
        <v>4</v>
      </c>
      <c r="I83" s="86"/>
      <c r="J83" s="86"/>
      <c r="K83" s="87">
        <f t="shared" si="7"/>
        <v>4</v>
      </c>
    </row>
    <row r="84" spans="1:11" x14ac:dyDescent="0.2">
      <c r="A84" s="8"/>
      <c r="B84" s="81"/>
      <c r="C84" s="81"/>
      <c r="D84" s="27">
        <v>61</v>
      </c>
      <c r="E84" s="83"/>
      <c r="F84" s="84">
        <f>E84/E58*100</f>
        <v>0</v>
      </c>
      <c r="G84" s="84">
        <f t="shared" si="0"/>
        <v>100</v>
      </c>
      <c r="H84" s="85">
        <f t="shared" si="8"/>
        <v>4</v>
      </c>
      <c r="I84" s="86"/>
      <c r="J84" s="86"/>
      <c r="K84" s="87">
        <f t="shared" si="7"/>
        <v>4</v>
      </c>
    </row>
    <row r="85" spans="1:11" ht="17" thickBot="1" x14ac:dyDescent="0.25">
      <c r="A85" s="8"/>
      <c r="B85" s="371"/>
      <c r="C85" s="371"/>
      <c r="D85" s="372">
        <v>64</v>
      </c>
      <c r="E85" s="373"/>
      <c r="F85" s="374">
        <f>E85/E58*100</f>
        <v>0</v>
      </c>
      <c r="G85" s="374">
        <f t="shared" si="0"/>
        <v>100</v>
      </c>
      <c r="H85" s="375">
        <f t="shared" si="8"/>
        <v>4</v>
      </c>
      <c r="I85" s="376"/>
      <c r="J85" s="376"/>
      <c r="K85" s="377">
        <f t="shared" si="7"/>
        <v>4</v>
      </c>
    </row>
    <row r="86" spans="1:11" x14ac:dyDescent="0.2">
      <c r="A86" s="8" t="s">
        <v>20</v>
      </c>
      <c r="B86" s="72" t="s">
        <v>17</v>
      </c>
      <c r="C86" s="72" t="s">
        <v>22</v>
      </c>
      <c r="D86" s="300">
        <v>1</v>
      </c>
      <c r="E86" s="78">
        <v>22</v>
      </c>
      <c r="F86" s="79">
        <v>100</v>
      </c>
      <c r="G86" s="79">
        <f t="shared" ref="G86:G141" si="9">100-F86</f>
        <v>0</v>
      </c>
      <c r="H86" s="80">
        <f t="shared" si="8"/>
        <v>0</v>
      </c>
      <c r="I86" s="71">
        <v>0</v>
      </c>
      <c r="J86" s="71">
        <v>0</v>
      </c>
      <c r="K86" s="302">
        <f t="shared" si="7"/>
        <v>0</v>
      </c>
    </row>
    <row r="87" spans="1:11" x14ac:dyDescent="0.2">
      <c r="A87" s="8"/>
      <c r="B87" s="81"/>
      <c r="C87" s="81"/>
      <c r="D87" s="16">
        <v>3</v>
      </c>
      <c r="E87" s="83">
        <v>19</v>
      </c>
      <c r="F87" s="84">
        <f>E87/E86*100</f>
        <v>86.36363636363636</v>
      </c>
      <c r="G87" s="84">
        <f t="shared" si="9"/>
        <v>13.63636363636364</v>
      </c>
      <c r="H87" s="85">
        <f t="shared" si="8"/>
        <v>3</v>
      </c>
      <c r="I87" s="86">
        <v>2</v>
      </c>
      <c r="J87" s="86">
        <v>0</v>
      </c>
      <c r="K87" s="19">
        <f t="shared" si="7"/>
        <v>1.6666666666666667</v>
      </c>
    </row>
    <row r="88" spans="1:11" x14ac:dyDescent="0.2">
      <c r="A88" s="8"/>
      <c r="B88" s="81"/>
      <c r="C88" s="81"/>
      <c r="D88" s="16">
        <v>5</v>
      </c>
      <c r="E88" s="83">
        <v>21.1</v>
      </c>
      <c r="F88" s="84">
        <f>E88/E86*100</f>
        <v>95.909090909090907</v>
      </c>
      <c r="G88" s="84">
        <f t="shared" si="9"/>
        <v>4.0909090909090935</v>
      </c>
      <c r="H88" s="85">
        <f t="shared" si="8"/>
        <v>1</v>
      </c>
      <c r="I88" s="86">
        <v>1</v>
      </c>
      <c r="J88" s="86">
        <v>0</v>
      </c>
      <c r="K88" s="19">
        <f t="shared" si="7"/>
        <v>0.66666666666666663</v>
      </c>
    </row>
    <row r="89" spans="1:11" x14ac:dyDescent="0.2">
      <c r="A89" s="8"/>
      <c r="B89" s="81"/>
      <c r="C89" s="81"/>
      <c r="D89" s="16">
        <v>8</v>
      </c>
      <c r="E89" s="83">
        <v>23.4</v>
      </c>
      <c r="F89" s="84">
        <f>E89/E86*100</f>
        <v>106.36363636363635</v>
      </c>
      <c r="G89" s="84">
        <f t="shared" si="9"/>
        <v>-6.3636363636363455</v>
      </c>
      <c r="H89" s="85">
        <f t="shared" si="8"/>
        <v>0</v>
      </c>
      <c r="I89" s="86">
        <v>2</v>
      </c>
      <c r="J89" s="86">
        <v>0</v>
      </c>
      <c r="K89" s="19">
        <f t="shared" si="7"/>
        <v>0.66666666666666663</v>
      </c>
    </row>
    <row r="90" spans="1:11" x14ac:dyDescent="0.2">
      <c r="A90" s="8"/>
      <c r="B90" s="81"/>
      <c r="C90" s="81"/>
      <c r="D90" s="16">
        <v>10</v>
      </c>
      <c r="E90" s="83">
        <v>24.2</v>
      </c>
      <c r="F90" s="84">
        <f>E90/E86*100</f>
        <v>109.99999999999999</v>
      </c>
      <c r="G90" s="84">
        <f t="shared" si="9"/>
        <v>-9.9999999999999858</v>
      </c>
      <c r="H90" s="85">
        <f t="shared" si="8"/>
        <v>0</v>
      </c>
      <c r="I90" s="86">
        <v>3</v>
      </c>
      <c r="J90" s="86">
        <v>0</v>
      </c>
      <c r="K90" s="19">
        <f t="shared" si="7"/>
        <v>1</v>
      </c>
    </row>
    <row r="91" spans="1:11" x14ac:dyDescent="0.2">
      <c r="A91" s="8"/>
      <c r="B91" s="81"/>
      <c r="C91" s="81"/>
      <c r="D91" s="16">
        <v>12</v>
      </c>
      <c r="E91" s="83">
        <v>24</v>
      </c>
      <c r="F91" s="84">
        <f>E91/E86*100</f>
        <v>109.09090909090908</v>
      </c>
      <c r="G91" s="84">
        <f t="shared" si="9"/>
        <v>-9.0909090909090793</v>
      </c>
      <c r="H91" s="85">
        <f t="shared" si="8"/>
        <v>0</v>
      </c>
      <c r="I91" s="86">
        <v>3</v>
      </c>
      <c r="J91" s="86">
        <v>0</v>
      </c>
      <c r="K91" s="19">
        <f t="shared" si="7"/>
        <v>1</v>
      </c>
    </row>
    <row r="92" spans="1:11" x14ac:dyDescent="0.2">
      <c r="A92" s="8"/>
      <c r="B92" s="81"/>
      <c r="C92" s="88" t="s">
        <v>4</v>
      </c>
      <c r="D92" s="22">
        <v>15</v>
      </c>
      <c r="E92" s="263">
        <v>24.7</v>
      </c>
      <c r="F92" s="84">
        <f>E92/E86*100</f>
        <v>112.27272727272728</v>
      </c>
      <c r="G92" s="84">
        <f t="shared" si="9"/>
        <v>-12.27272727272728</v>
      </c>
      <c r="H92" s="85">
        <f t="shared" si="8"/>
        <v>0</v>
      </c>
      <c r="I92" s="86">
        <v>3</v>
      </c>
      <c r="J92" s="86">
        <v>0</v>
      </c>
      <c r="K92" s="87">
        <f t="shared" si="7"/>
        <v>1</v>
      </c>
    </row>
    <row r="93" spans="1:11" x14ac:dyDescent="0.2">
      <c r="A93" s="8"/>
      <c r="B93" s="81"/>
      <c r="C93" s="81" t="s">
        <v>3</v>
      </c>
      <c r="D93" s="16">
        <v>17</v>
      </c>
      <c r="E93" s="83">
        <v>23.7</v>
      </c>
      <c r="F93" s="84">
        <f>E93/E86*100</f>
        <v>107.72727272727272</v>
      </c>
      <c r="G93" s="84">
        <f t="shared" si="9"/>
        <v>-7.7272727272727195</v>
      </c>
      <c r="H93" s="85">
        <f t="shared" si="8"/>
        <v>0</v>
      </c>
      <c r="I93" s="86">
        <v>3</v>
      </c>
      <c r="J93" s="86">
        <v>0</v>
      </c>
      <c r="K93" s="87">
        <f t="shared" si="7"/>
        <v>1</v>
      </c>
    </row>
    <row r="94" spans="1:11" x14ac:dyDescent="0.2">
      <c r="A94" s="8"/>
      <c r="B94" s="81"/>
      <c r="C94" s="81"/>
      <c r="D94" s="16">
        <v>19</v>
      </c>
      <c r="E94" s="83">
        <v>24.5</v>
      </c>
      <c r="F94" s="84">
        <f>E94/E86*100</f>
        <v>111.36363636363636</v>
      </c>
      <c r="G94" s="84">
        <f t="shared" si="9"/>
        <v>-11.36363636363636</v>
      </c>
      <c r="H94" s="85">
        <f t="shared" si="8"/>
        <v>0</v>
      </c>
      <c r="I94" s="86">
        <v>3.5</v>
      </c>
      <c r="J94" s="86">
        <v>0</v>
      </c>
      <c r="K94" s="87">
        <f t="shared" ref="K94:K141" si="10">AVERAGE(H94:J94)</f>
        <v>1.1666666666666667</v>
      </c>
    </row>
    <row r="95" spans="1:11" x14ac:dyDescent="0.2">
      <c r="A95" s="8"/>
      <c r="B95" s="81"/>
      <c r="C95" s="81"/>
      <c r="D95" s="16">
        <v>22</v>
      </c>
      <c r="E95" s="83">
        <v>25.6</v>
      </c>
      <c r="F95" s="84">
        <f>E95/E86*100</f>
        <v>116.36363636363637</v>
      </c>
      <c r="G95" s="84">
        <f t="shared" si="9"/>
        <v>-16.363636363636374</v>
      </c>
      <c r="H95" s="85">
        <f t="shared" si="8"/>
        <v>0</v>
      </c>
      <c r="I95" s="86">
        <v>2.5</v>
      </c>
      <c r="J95" s="86">
        <v>0</v>
      </c>
      <c r="K95" s="87">
        <f t="shared" si="10"/>
        <v>0.83333333333333337</v>
      </c>
    </row>
    <row r="96" spans="1:11" x14ac:dyDescent="0.2">
      <c r="A96" s="8"/>
      <c r="B96" s="81"/>
      <c r="C96" s="81"/>
      <c r="D96" s="16">
        <v>24</v>
      </c>
      <c r="E96" s="83">
        <v>25.9</v>
      </c>
      <c r="F96" s="84">
        <f>E96/E86*100</f>
        <v>117.72727272727272</v>
      </c>
      <c r="G96" s="84">
        <f t="shared" si="9"/>
        <v>-17.72727272727272</v>
      </c>
      <c r="H96" s="85">
        <f t="shared" si="8"/>
        <v>0</v>
      </c>
      <c r="I96" s="86">
        <v>1.5</v>
      </c>
      <c r="J96" s="86">
        <v>0</v>
      </c>
      <c r="K96" s="87">
        <f t="shared" si="10"/>
        <v>0.5</v>
      </c>
    </row>
    <row r="97" spans="1:11" x14ac:dyDescent="0.2">
      <c r="A97" s="8"/>
      <c r="B97" s="81"/>
      <c r="C97" s="81"/>
      <c r="D97" s="27">
        <v>26</v>
      </c>
      <c r="E97" s="263">
        <v>27.4</v>
      </c>
      <c r="F97" s="84">
        <f>E97/E86*100</f>
        <v>124.54545454545453</v>
      </c>
      <c r="G97" s="84">
        <f t="shared" si="9"/>
        <v>-24.545454545454533</v>
      </c>
      <c r="H97" s="85">
        <f t="shared" si="8"/>
        <v>0</v>
      </c>
      <c r="I97" s="86">
        <v>1</v>
      </c>
      <c r="J97" s="86">
        <v>0</v>
      </c>
      <c r="K97" s="87">
        <f t="shared" si="10"/>
        <v>0.33333333333333331</v>
      </c>
    </row>
    <row r="98" spans="1:11" x14ac:dyDescent="0.2">
      <c r="A98" s="8"/>
      <c r="B98" s="81"/>
      <c r="C98" s="81"/>
      <c r="D98" s="27">
        <v>29</v>
      </c>
      <c r="E98" s="263">
        <v>27</v>
      </c>
      <c r="F98" s="84">
        <f>E98/E86*100</f>
        <v>122.72727272727273</v>
      </c>
      <c r="G98" s="84">
        <f t="shared" si="9"/>
        <v>-22.727272727272734</v>
      </c>
      <c r="H98" s="85">
        <f t="shared" ref="H98:H141" si="11">IF(G98&lt;=1, 0, IF(AND(G98&gt;1, G98&lt;=5), 1, IF(AND(G98&gt;5, G98&lt;=10), 2, IF(AND(G98&gt;10, G98&lt;=15), 3, 4))))</f>
        <v>0</v>
      </c>
      <c r="I98" s="86">
        <v>2.5</v>
      </c>
      <c r="J98" s="86">
        <v>0</v>
      </c>
      <c r="K98" s="87">
        <f t="shared" si="10"/>
        <v>0.83333333333333337</v>
      </c>
    </row>
    <row r="99" spans="1:11" x14ac:dyDescent="0.2">
      <c r="A99" s="8"/>
      <c r="B99" s="81"/>
      <c r="C99" s="81" t="s">
        <v>15</v>
      </c>
      <c r="D99" s="10">
        <v>31</v>
      </c>
      <c r="E99" s="83">
        <v>25.5</v>
      </c>
      <c r="F99" s="84">
        <f>E99/E86*100</f>
        <v>115.90909090909092</v>
      </c>
      <c r="G99" s="84">
        <f t="shared" si="9"/>
        <v>-15.909090909090921</v>
      </c>
      <c r="H99" s="85">
        <f t="shared" si="11"/>
        <v>0</v>
      </c>
      <c r="I99" s="86">
        <v>2.5</v>
      </c>
      <c r="J99" s="86">
        <v>0</v>
      </c>
      <c r="K99" s="87">
        <f t="shared" si="10"/>
        <v>0.83333333333333337</v>
      </c>
    </row>
    <row r="100" spans="1:11" x14ac:dyDescent="0.2">
      <c r="A100" s="8"/>
      <c r="B100" s="81"/>
      <c r="C100" s="81"/>
      <c r="D100" s="16">
        <v>33</v>
      </c>
      <c r="E100" s="83">
        <v>25.8</v>
      </c>
      <c r="F100" s="84">
        <f>E100/E86*100</f>
        <v>117.27272727272728</v>
      </c>
      <c r="G100" s="84">
        <f t="shared" si="9"/>
        <v>-17.27272727272728</v>
      </c>
      <c r="H100" s="85">
        <f t="shared" si="11"/>
        <v>0</v>
      </c>
      <c r="I100" s="86">
        <v>2</v>
      </c>
      <c r="J100" s="86">
        <v>0.5</v>
      </c>
      <c r="K100" s="87">
        <f t="shared" si="10"/>
        <v>0.83333333333333337</v>
      </c>
    </row>
    <row r="101" spans="1:11" x14ac:dyDescent="0.2">
      <c r="A101" s="8"/>
      <c r="B101" s="81"/>
      <c r="C101" s="81" t="s">
        <v>16</v>
      </c>
      <c r="D101" s="16">
        <v>36</v>
      </c>
      <c r="E101" s="83">
        <v>25.5</v>
      </c>
      <c r="F101" s="84">
        <f>E101/E86*100</f>
        <v>115.90909090909092</v>
      </c>
      <c r="G101" s="84">
        <f t="shared" si="9"/>
        <v>-15.909090909090921</v>
      </c>
      <c r="H101" s="85">
        <f t="shared" si="11"/>
        <v>0</v>
      </c>
      <c r="I101" s="86">
        <v>2</v>
      </c>
      <c r="J101" s="86">
        <v>1</v>
      </c>
      <c r="K101" s="87">
        <f t="shared" si="10"/>
        <v>1</v>
      </c>
    </row>
    <row r="102" spans="1:11" x14ac:dyDescent="0.2">
      <c r="A102" s="8"/>
      <c r="B102" s="81"/>
      <c r="C102" s="81"/>
      <c r="D102" s="16">
        <v>38</v>
      </c>
      <c r="E102" s="83">
        <v>25.6</v>
      </c>
      <c r="F102" s="84">
        <f>E102/E86*100</f>
        <v>116.36363636363637</v>
      </c>
      <c r="G102" s="84">
        <f t="shared" si="9"/>
        <v>-16.363636363636374</v>
      </c>
      <c r="H102" s="85">
        <f t="shared" si="11"/>
        <v>0</v>
      </c>
      <c r="I102" s="86">
        <v>4</v>
      </c>
      <c r="J102" s="86">
        <v>0</v>
      </c>
      <c r="K102" s="87">
        <f t="shared" si="10"/>
        <v>1.3333333333333333</v>
      </c>
    </row>
    <row r="103" spans="1:11" x14ac:dyDescent="0.2">
      <c r="A103" s="8"/>
      <c r="B103" s="81"/>
      <c r="C103" s="81"/>
      <c r="D103" s="16">
        <v>40</v>
      </c>
      <c r="E103" s="83"/>
      <c r="F103" s="84">
        <f>E103/E86*100</f>
        <v>0</v>
      </c>
      <c r="G103" s="84">
        <f t="shared" si="9"/>
        <v>100</v>
      </c>
      <c r="H103" s="85">
        <f t="shared" si="11"/>
        <v>4</v>
      </c>
      <c r="I103" s="86"/>
      <c r="J103" s="86"/>
      <c r="K103" s="87">
        <f t="shared" si="10"/>
        <v>4</v>
      </c>
    </row>
    <row r="104" spans="1:11" x14ac:dyDescent="0.2">
      <c r="A104" s="8"/>
      <c r="B104" s="81"/>
      <c r="C104" s="81" t="s">
        <v>15</v>
      </c>
      <c r="D104" s="16">
        <v>43</v>
      </c>
      <c r="E104" s="83"/>
      <c r="F104" s="84">
        <f>E104/E86*100</f>
        <v>0</v>
      </c>
      <c r="G104" s="84">
        <f t="shared" si="9"/>
        <v>100</v>
      </c>
      <c r="H104" s="85">
        <f t="shared" si="11"/>
        <v>4</v>
      </c>
      <c r="I104" s="86"/>
      <c r="J104" s="86"/>
      <c r="K104" s="87">
        <f t="shared" si="10"/>
        <v>4</v>
      </c>
    </row>
    <row r="105" spans="1:11" x14ac:dyDescent="0.2">
      <c r="A105" s="8"/>
      <c r="B105" s="81"/>
      <c r="C105" s="81"/>
      <c r="D105" s="16">
        <v>45</v>
      </c>
      <c r="E105" s="83"/>
      <c r="F105" s="84">
        <f>E105/E86*100</f>
        <v>0</v>
      </c>
      <c r="G105" s="84">
        <f t="shared" si="9"/>
        <v>100</v>
      </c>
      <c r="H105" s="85">
        <f t="shared" si="11"/>
        <v>4</v>
      </c>
      <c r="I105" s="86"/>
      <c r="J105" s="86"/>
      <c r="K105" s="87">
        <f t="shared" si="10"/>
        <v>4</v>
      </c>
    </row>
    <row r="106" spans="1:11" x14ac:dyDescent="0.2">
      <c r="A106" s="8"/>
      <c r="B106" s="81"/>
      <c r="C106" s="81"/>
      <c r="D106" s="27">
        <v>47</v>
      </c>
      <c r="E106" s="263"/>
      <c r="F106" s="84">
        <f>E106/E86*100</f>
        <v>0</v>
      </c>
      <c r="G106" s="84">
        <f t="shared" si="9"/>
        <v>100</v>
      </c>
      <c r="H106" s="85">
        <f t="shared" si="11"/>
        <v>4</v>
      </c>
      <c r="I106" s="86"/>
      <c r="J106" s="86"/>
      <c r="K106" s="87">
        <f t="shared" si="10"/>
        <v>4</v>
      </c>
    </row>
    <row r="107" spans="1:11" x14ac:dyDescent="0.2">
      <c r="A107" s="8"/>
      <c r="B107" s="81"/>
      <c r="C107" s="81" t="s">
        <v>16</v>
      </c>
      <c r="D107" s="27">
        <v>50</v>
      </c>
      <c r="E107" s="83"/>
      <c r="F107" s="84">
        <f>E107/E86*100</f>
        <v>0</v>
      </c>
      <c r="G107" s="84">
        <f t="shared" si="9"/>
        <v>100</v>
      </c>
      <c r="H107" s="85">
        <f t="shared" si="11"/>
        <v>4</v>
      </c>
      <c r="I107" s="86"/>
      <c r="J107" s="86"/>
      <c r="K107" s="87">
        <f t="shared" si="10"/>
        <v>4</v>
      </c>
    </row>
    <row r="108" spans="1:11" x14ac:dyDescent="0.2">
      <c r="A108" s="8"/>
      <c r="B108" s="81"/>
      <c r="C108" s="81"/>
      <c r="D108" s="27">
        <v>52</v>
      </c>
      <c r="E108" s="83"/>
      <c r="F108" s="84">
        <f>E108/E86*100</f>
        <v>0</v>
      </c>
      <c r="G108" s="84">
        <f t="shared" si="9"/>
        <v>100</v>
      </c>
      <c r="H108" s="85">
        <f t="shared" si="11"/>
        <v>4</v>
      </c>
      <c r="I108" s="86"/>
      <c r="J108" s="86"/>
      <c r="K108" s="87">
        <f t="shared" si="10"/>
        <v>4</v>
      </c>
    </row>
    <row r="109" spans="1:11" x14ac:dyDescent="0.2">
      <c r="A109" s="8"/>
      <c r="B109" s="81"/>
      <c r="C109" s="81"/>
      <c r="D109" s="27">
        <v>54</v>
      </c>
      <c r="E109" s="83"/>
      <c r="F109" s="84">
        <f>E109/E86*100</f>
        <v>0</v>
      </c>
      <c r="G109" s="84">
        <f t="shared" si="9"/>
        <v>100</v>
      </c>
      <c r="H109" s="85">
        <f t="shared" si="11"/>
        <v>4</v>
      </c>
      <c r="I109" s="86"/>
      <c r="J109" s="86"/>
      <c r="K109" s="87">
        <f t="shared" si="10"/>
        <v>4</v>
      </c>
    </row>
    <row r="110" spans="1:11" x14ac:dyDescent="0.2">
      <c r="A110" s="8"/>
      <c r="B110" s="81"/>
      <c r="C110" s="81" t="s">
        <v>15</v>
      </c>
      <c r="D110" s="27">
        <v>57</v>
      </c>
      <c r="E110" s="83"/>
      <c r="F110" s="84">
        <f>E110/E86*100</f>
        <v>0</v>
      </c>
      <c r="G110" s="84">
        <f t="shared" si="9"/>
        <v>100</v>
      </c>
      <c r="H110" s="85">
        <f t="shared" si="11"/>
        <v>4</v>
      </c>
      <c r="I110" s="86"/>
      <c r="J110" s="86"/>
      <c r="K110" s="87">
        <f t="shared" si="10"/>
        <v>4</v>
      </c>
    </row>
    <row r="111" spans="1:11" x14ac:dyDescent="0.2">
      <c r="A111" s="8"/>
      <c r="B111" s="81"/>
      <c r="C111" s="81"/>
      <c r="D111" s="27">
        <v>59</v>
      </c>
      <c r="E111" s="83"/>
      <c r="F111" s="84">
        <f>E111/E86*100</f>
        <v>0</v>
      </c>
      <c r="G111" s="84">
        <f t="shared" si="9"/>
        <v>100</v>
      </c>
      <c r="H111" s="85">
        <f t="shared" si="11"/>
        <v>4</v>
      </c>
      <c r="I111" s="86"/>
      <c r="J111" s="86"/>
      <c r="K111" s="87">
        <f t="shared" si="10"/>
        <v>4</v>
      </c>
    </row>
    <row r="112" spans="1:11" x14ac:dyDescent="0.2">
      <c r="A112" s="8"/>
      <c r="B112" s="81"/>
      <c r="C112" s="81"/>
      <c r="D112" s="27">
        <v>61</v>
      </c>
      <c r="E112" s="83"/>
      <c r="F112" s="84">
        <f>E112/E86*100</f>
        <v>0</v>
      </c>
      <c r="G112" s="84">
        <f t="shared" si="9"/>
        <v>100</v>
      </c>
      <c r="H112" s="85">
        <f t="shared" si="11"/>
        <v>4</v>
      </c>
      <c r="I112" s="86"/>
      <c r="J112" s="86"/>
      <c r="K112" s="87">
        <f t="shared" si="10"/>
        <v>4</v>
      </c>
    </row>
    <row r="113" spans="1:11" ht="17" thickBot="1" x14ac:dyDescent="0.25">
      <c r="A113" s="8"/>
      <c r="B113" s="371"/>
      <c r="C113" s="371"/>
      <c r="D113" s="372">
        <v>64</v>
      </c>
      <c r="E113" s="373"/>
      <c r="F113" s="374">
        <f>E113/E86*100</f>
        <v>0</v>
      </c>
      <c r="G113" s="374">
        <f t="shared" si="9"/>
        <v>100</v>
      </c>
      <c r="H113" s="375">
        <f t="shared" si="11"/>
        <v>4</v>
      </c>
      <c r="I113" s="376"/>
      <c r="J113" s="376"/>
      <c r="K113" s="377">
        <f t="shared" si="10"/>
        <v>4</v>
      </c>
    </row>
    <row r="114" spans="1:11" x14ac:dyDescent="0.2">
      <c r="A114" s="8" t="s">
        <v>20</v>
      </c>
      <c r="B114" s="72" t="s">
        <v>18</v>
      </c>
      <c r="C114" s="72" t="s">
        <v>22</v>
      </c>
      <c r="D114" s="300">
        <v>1</v>
      </c>
      <c r="E114" s="78">
        <v>18.5</v>
      </c>
      <c r="F114" s="79">
        <v>100</v>
      </c>
      <c r="G114" s="79">
        <f t="shared" si="9"/>
        <v>0</v>
      </c>
      <c r="H114" s="80">
        <f t="shared" si="11"/>
        <v>0</v>
      </c>
      <c r="I114" s="71">
        <v>0</v>
      </c>
      <c r="J114" s="71">
        <v>0</v>
      </c>
      <c r="K114" s="302">
        <f t="shared" si="10"/>
        <v>0</v>
      </c>
    </row>
    <row r="115" spans="1:11" x14ac:dyDescent="0.2">
      <c r="A115" s="8"/>
      <c r="B115" s="81"/>
      <c r="C115" s="81"/>
      <c r="D115" s="16">
        <v>3</v>
      </c>
      <c r="E115" s="83">
        <v>16.8</v>
      </c>
      <c r="F115" s="84">
        <f>E115/E114*100</f>
        <v>90.810810810810821</v>
      </c>
      <c r="G115" s="84">
        <f t="shared" si="9"/>
        <v>9.1891891891891788</v>
      </c>
      <c r="H115" s="85">
        <f t="shared" si="11"/>
        <v>2</v>
      </c>
      <c r="I115" s="86">
        <v>1.5</v>
      </c>
      <c r="J115" s="86">
        <v>0</v>
      </c>
      <c r="K115" s="19">
        <f t="shared" si="10"/>
        <v>1.1666666666666667</v>
      </c>
    </row>
    <row r="116" spans="1:11" x14ac:dyDescent="0.2">
      <c r="A116" s="8"/>
      <c r="B116" s="81"/>
      <c r="C116" s="81"/>
      <c r="D116" s="16">
        <v>5</v>
      </c>
      <c r="E116" s="83">
        <v>19.3</v>
      </c>
      <c r="F116" s="84">
        <f>E116/E114*100</f>
        <v>104.32432432432432</v>
      </c>
      <c r="G116" s="84">
        <f t="shared" si="9"/>
        <v>-4.3243243243243228</v>
      </c>
      <c r="H116" s="85">
        <f t="shared" si="11"/>
        <v>0</v>
      </c>
      <c r="I116" s="86">
        <v>1.5</v>
      </c>
      <c r="J116" s="86">
        <v>0</v>
      </c>
      <c r="K116" s="19">
        <f t="shared" si="10"/>
        <v>0.5</v>
      </c>
    </row>
    <row r="117" spans="1:11" x14ac:dyDescent="0.2">
      <c r="A117" s="8"/>
      <c r="B117" s="81"/>
      <c r="C117" s="81"/>
      <c r="D117" s="16">
        <v>8</v>
      </c>
      <c r="E117" s="83">
        <v>20.2</v>
      </c>
      <c r="F117" s="84">
        <f>E117/E114*100</f>
        <v>109.18918918918918</v>
      </c>
      <c r="G117" s="84">
        <f t="shared" si="9"/>
        <v>-9.1891891891891788</v>
      </c>
      <c r="H117" s="85">
        <f t="shared" si="11"/>
        <v>0</v>
      </c>
      <c r="I117" s="86">
        <v>3</v>
      </c>
      <c r="J117" s="86">
        <v>0</v>
      </c>
      <c r="K117" s="19">
        <f t="shared" si="10"/>
        <v>1</v>
      </c>
    </row>
    <row r="118" spans="1:11" x14ac:dyDescent="0.2">
      <c r="A118" s="8"/>
      <c r="B118" s="81"/>
      <c r="C118" s="81"/>
      <c r="D118" s="16">
        <v>10</v>
      </c>
      <c r="E118" s="83">
        <v>20.9</v>
      </c>
      <c r="F118" s="84">
        <f>E118/E114*100</f>
        <v>112.97297297297297</v>
      </c>
      <c r="G118" s="84">
        <f t="shared" si="9"/>
        <v>-12.972972972972968</v>
      </c>
      <c r="H118" s="85">
        <f t="shared" si="11"/>
        <v>0</v>
      </c>
      <c r="I118" s="86">
        <v>3.5</v>
      </c>
      <c r="J118" s="86">
        <v>0</v>
      </c>
      <c r="K118" s="19">
        <f t="shared" si="10"/>
        <v>1.1666666666666667</v>
      </c>
    </row>
    <row r="119" spans="1:11" x14ac:dyDescent="0.2">
      <c r="A119" s="8"/>
      <c r="B119" s="81"/>
      <c r="C119" s="81"/>
      <c r="D119" s="16">
        <v>12</v>
      </c>
      <c r="E119" s="83">
        <v>20.2</v>
      </c>
      <c r="F119" s="84">
        <f>E119/E114*100</f>
        <v>109.18918918918918</v>
      </c>
      <c r="G119" s="84">
        <f t="shared" si="9"/>
        <v>-9.1891891891891788</v>
      </c>
      <c r="H119" s="85">
        <f t="shared" si="11"/>
        <v>0</v>
      </c>
      <c r="I119" s="86">
        <v>2</v>
      </c>
      <c r="J119" s="86">
        <v>0</v>
      </c>
      <c r="K119" s="19">
        <f t="shared" si="10"/>
        <v>0.66666666666666663</v>
      </c>
    </row>
    <row r="120" spans="1:11" x14ac:dyDescent="0.2">
      <c r="A120" s="8"/>
      <c r="B120" s="81"/>
      <c r="C120" s="88" t="s">
        <v>4</v>
      </c>
      <c r="D120" s="22">
        <v>15</v>
      </c>
      <c r="E120" s="263">
        <v>21.4</v>
      </c>
      <c r="F120" s="84">
        <f>E120/E114*100</f>
        <v>115.67567567567568</v>
      </c>
      <c r="G120" s="84">
        <f t="shared" si="9"/>
        <v>-15.675675675675677</v>
      </c>
      <c r="H120" s="85">
        <f t="shared" si="11"/>
        <v>0</v>
      </c>
      <c r="I120" s="86">
        <v>3.5</v>
      </c>
      <c r="J120" s="86">
        <v>0</v>
      </c>
      <c r="K120" s="87">
        <f t="shared" si="10"/>
        <v>1.1666666666666667</v>
      </c>
    </row>
    <row r="121" spans="1:11" x14ac:dyDescent="0.2">
      <c r="A121" s="8"/>
      <c r="B121" s="81"/>
      <c r="C121" s="81" t="s">
        <v>3</v>
      </c>
      <c r="D121" s="16">
        <v>17</v>
      </c>
      <c r="E121" s="83">
        <v>21</v>
      </c>
      <c r="F121" s="84">
        <f>E121/E114*100</f>
        <v>113.51351351351352</v>
      </c>
      <c r="G121" s="84">
        <f t="shared" si="9"/>
        <v>-13.513513513513516</v>
      </c>
      <c r="H121" s="85">
        <f t="shared" si="11"/>
        <v>0</v>
      </c>
      <c r="I121" s="86">
        <v>2.5</v>
      </c>
      <c r="J121" s="86">
        <v>0</v>
      </c>
      <c r="K121" s="87">
        <f t="shared" si="10"/>
        <v>0.83333333333333337</v>
      </c>
    </row>
    <row r="122" spans="1:11" x14ac:dyDescent="0.2">
      <c r="A122" s="8"/>
      <c r="B122" s="81"/>
      <c r="C122" s="81"/>
      <c r="D122" s="16">
        <v>19</v>
      </c>
      <c r="E122" s="83">
        <v>20.9</v>
      </c>
      <c r="F122" s="84">
        <f>E122/E114*100</f>
        <v>112.97297297297297</v>
      </c>
      <c r="G122" s="84">
        <f t="shared" si="9"/>
        <v>-12.972972972972968</v>
      </c>
      <c r="H122" s="85">
        <f t="shared" si="11"/>
        <v>0</v>
      </c>
      <c r="I122" s="86">
        <v>2</v>
      </c>
      <c r="J122" s="86">
        <v>0</v>
      </c>
      <c r="K122" s="87">
        <f t="shared" si="10"/>
        <v>0.66666666666666663</v>
      </c>
    </row>
    <row r="123" spans="1:11" x14ac:dyDescent="0.2">
      <c r="A123" s="8"/>
      <c r="B123" s="81"/>
      <c r="C123" s="81"/>
      <c r="D123" s="16">
        <v>22</v>
      </c>
      <c r="E123" s="83">
        <v>20.7</v>
      </c>
      <c r="F123" s="84">
        <f>E123/E114*100</f>
        <v>111.89189189189189</v>
      </c>
      <c r="G123" s="84">
        <f t="shared" si="9"/>
        <v>-11.891891891891888</v>
      </c>
      <c r="H123" s="85">
        <f t="shared" si="11"/>
        <v>0</v>
      </c>
      <c r="I123" s="86">
        <v>1.5</v>
      </c>
      <c r="J123" s="86">
        <v>0</v>
      </c>
      <c r="K123" s="87">
        <f t="shared" si="10"/>
        <v>0.5</v>
      </c>
    </row>
    <row r="124" spans="1:11" x14ac:dyDescent="0.2">
      <c r="A124" s="8"/>
      <c r="B124" s="81"/>
      <c r="C124" s="81"/>
      <c r="D124" s="16">
        <v>24</v>
      </c>
      <c r="E124" s="83">
        <v>20.100000000000001</v>
      </c>
      <c r="F124" s="84">
        <f>E124/E114*100</f>
        <v>108.64864864864865</v>
      </c>
      <c r="G124" s="84">
        <f t="shared" si="9"/>
        <v>-8.6486486486486456</v>
      </c>
      <c r="H124" s="85">
        <f t="shared" si="11"/>
        <v>0</v>
      </c>
      <c r="I124" s="86">
        <v>1</v>
      </c>
      <c r="J124" s="86">
        <v>0</v>
      </c>
      <c r="K124" s="87">
        <f t="shared" si="10"/>
        <v>0.33333333333333331</v>
      </c>
    </row>
    <row r="125" spans="1:11" x14ac:dyDescent="0.2">
      <c r="A125" s="8"/>
      <c r="B125" s="81"/>
      <c r="C125" s="81"/>
      <c r="D125" s="27">
        <v>26</v>
      </c>
      <c r="E125" s="263">
        <v>20.9</v>
      </c>
      <c r="F125" s="84">
        <f>E125/E114*100</f>
        <v>112.97297297297297</v>
      </c>
      <c r="G125" s="84">
        <f t="shared" si="9"/>
        <v>-12.972972972972968</v>
      </c>
      <c r="H125" s="85">
        <f t="shared" si="11"/>
        <v>0</v>
      </c>
      <c r="I125" s="86">
        <v>1.5</v>
      </c>
      <c r="J125" s="86">
        <v>0</v>
      </c>
      <c r="K125" s="87">
        <f t="shared" si="10"/>
        <v>0.5</v>
      </c>
    </row>
    <row r="126" spans="1:11" x14ac:dyDescent="0.2">
      <c r="A126" s="8"/>
      <c r="B126" s="81"/>
      <c r="C126" s="81"/>
      <c r="D126" s="27">
        <v>29</v>
      </c>
      <c r="E126" s="263">
        <v>29.7</v>
      </c>
      <c r="F126" s="84">
        <f>E126/E114*100</f>
        <v>160.54054054054055</v>
      </c>
      <c r="G126" s="84">
        <f t="shared" si="9"/>
        <v>-60.540540540540547</v>
      </c>
      <c r="H126" s="85">
        <f t="shared" si="11"/>
        <v>0</v>
      </c>
      <c r="I126" s="86">
        <v>1.5</v>
      </c>
      <c r="J126" s="86">
        <v>0</v>
      </c>
      <c r="K126" s="87">
        <f t="shared" si="10"/>
        <v>0.5</v>
      </c>
    </row>
    <row r="127" spans="1:11" x14ac:dyDescent="0.2">
      <c r="A127" s="8"/>
      <c r="B127" s="81"/>
      <c r="C127" s="81" t="s">
        <v>15</v>
      </c>
      <c r="D127" s="10">
        <v>31</v>
      </c>
      <c r="E127" s="83">
        <v>19.899999999999999</v>
      </c>
      <c r="F127" s="84">
        <f>E127/E114*100</f>
        <v>107.56756756756755</v>
      </c>
      <c r="G127" s="84">
        <f t="shared" si="9"/>
        <v>-7.5675675675675507</v>
      </c>
      <c r="H127" s="85">
        <f t="shared" si="11"/>
        <v>0</v>
      </c>
      <c r="I127" s="86">
        <v>1.5</v>
      </c>
      <c r="J127" s="86">
        <v>0</v>
      </c>
      <c r="K127" s="87">
        <f t="shared" si="10"/>
        <v>0.5</v>
      </c>
    </row>
    <row r="128" spans="1:11" x14ac:dyDescent="0.2">
      <c r="A128" s="8"/>
      <c r="B128" s="81"/>
      <c r="C128" s="81"/>
      <c r="D128" s="16">
        <v>33</v>
      </c>
      <c r="E128" s="83">
        <v>20.3</v>
      </c>
      <c r="F128" s="84">
        <f>E128/E114*100</f>
        <v>109.72972972972974</v>
      </c>
      <c r="G128" s="84">
        <f t="shared" si="9"/>
        <v>-9.7297297297297405</v>
      </c>
      <c r="H128" s="85">
        <f t="shared" si="11"/>
        <v>0</v>
      </c>
      <c r="I128" s="86">
        <v>2</v>
      </c>
      <c r="J128" s="86">
        <v>2</v>
      </c>
      <c r="K128" s="87">
        <f t="shared" si="10"/>
        <v>1.3333333333333333</v>
      </c>
    </row>
    <row r="129" spans="1:11" x14ac:dyDescent="0.2">
      <c r="A129" s="8"/>
      <c r="B129" s="81"/>
      <c r="C129" s="81" t="s">
        <v>16</v>
      </c>
      <c r="D129" s="16">
        <v>36</v>
      </c>
      <c r="E129" s="83">
        <v>20.3</v>
      </c>
      <c r="F129" s="84">
        <f>E129/E114*100</f>
        <v>109.72972972972974</v>
      </c>
      <c r="G129" s="84">
        <f t="shared" si="9"/>
        <v>-9.7297297297297405</v>
      </c>
      <c r="H129" s="85">
        <f t="shared" si="11"/>
        <v>0</v>
      </c>
      <c r="I129" s="86">
        <v>2.5</v>
      </c>
      <c r="J129" s="86">
        <v>1</v>
      </c>
      <c r="K129" s="87">
        <f t="shared" si="10"/>
        <v>1.1666666666666667</v>
      </c>
    </row>
    <row r="130" spans="1:11" x14ac:dyDescent="0.2">
      <c r="A130" s="8"/>
      <c r="B130" s="81"/>
      <c r="C130" s="81"/>
      <c r="D130" s="16">
        <v>38</v>
      </c>
      <c r="E130" s="83">
        <v>19.899999999999999</v>
      </c>
      <c r="F130" s="84">
        <f>E130/E114*100</f>
        <v>107.56756756756755</v>
      </c>
      <c r="G130" s="84">
        <f t="shared" si="9"/>
        <v>-7.5675675675675507</v>
      </c>
      <c r="H130" s="85">
        <f t="shared" si="11"/>
        <v>0</v>
      </c>
      <c r="I130" s="86">
        <v>1.5</v>
      </c>
      <c r="J130" s="86">
        <v>0</v>
      </c>
      <c r="K130" s="87">
        <f t="shared" si="10"/>
        <v>0.5</v>
      </c>
    </row>
    <row r="131" spans="1:11" x14ac:dyDescent="0.2">
      <c r="A131" s="8"/>
      <c r="B131" s="81"/>
      <c r="C131" s="81"/>
      <c r="D131" s="16">
        <v>40</v>
      </c>
      <c r="E131" s="83"/>
      <c r="F131" s="84">
        <f>E131/E114*100</f>
        <v>0</v>
      </c>
      <c r="G131" s="84">
        <f t="shared" si="9"/>
        <v>100</v>
      </c>
      <c r="H131" s="85">
        <f t="shared" si="11"/>
        <v>4</v>
      </c>
      <c r="I131" s="86"/>
      <c r="J131" s="86"/>
      <c r="K131" s="87">
        <f t="shared" si="10"/>
        <v>4</v>
      </c>
    </row>
    <row r="132" spans="1:11" x14ac:dyDescent="0.2">
      <c r="A132" s="8"/>
      <c r="B132" s="81"/>
      <c r="C132" s="81" t="s">
        <v>15</v>
      </c>
      <c r="D132" s="16">
        <v>43</v>
      </c>
      <c r="E132" s="83"/>
      <c r="F132" s="84">
        <f>E132/E114*100</f>
        <v>0</v>
      </c>
      <c r="G132" s="84">
        <f t="shared" si="9"/>
        <v>100</v>
      </c>
      <c r="H132" s="85">
        <f t="shared" si="11"/>
        <v>4</v>
      </c>
      <c r="I132" s="86"/>
      <c r="J132" s="86"/>
      <c r="K132" s="87">
        <f t="shared" si="10"/>
        <v>4</v>
      </c>
    </row>
    <row r="133" spans="1:11" x14ac:dyDescent="0.2">
      <c r="A133" s="8"/>
      <c r="B133" s="81"/>
      <c r="C133" s="81"/>
      <c r="D133" s="16">
        <v>45</v>
      </c>
      <c r="E133" s="83"/>
      <c r="F133" s="84">
        <f>E133/E114*100</f>
        <v>0</v>
      </c>
      <c r="G133" s="84">
        <f t="shared" si="9"/>
        <v>100</v>
      </c>
      <c r="H133" s="85">
        <f t="shared" si="11"/>
        <v>4</v>
      </c>
      <c r="I133" s="86"/>
      <c r="J133" s="86"/>
      <c r="K133" s="87">
        <f t="shared" si="10"/>
        <v>4</v>
      </c>
    </row>
    <row r="134" spans="1:11" x14ac:dyDescent="0.2">
      <c r="A134" s="8"/>
      <c r="B134" s="81"/>
      <c r="C134" s="81"/>
      <c r="D134" s="27">
        <v>47</v>
      </c>
      <c r="E134" s="263"/>
      <c r="F134" s="84">
        <f>E134/E114*100</f>
        <v>0</v>
      </c>
      <c r="G134" s="84">
        <f t="shared" si="9"/>
        <v>100</v>
      </c>
      <c r="H134" s="85">
        <f t="shared" si="11"/>
        <v>4</v>
      </c>
      <c r="I134" s="86"/>
      <c r="J134" s="86"/>
      <c r="K134" s="87">
        <f t="shared" si="10"/>
        <v>4</v>
      </c>
    </row>
    <row r="135" spans="1:11" x14ac:dyDescent="0.2">
      <c r="A135" s="8"/>
      <c r="B135" s="81"/>
      <c r="C135" s="81" t="s">
        <v>16</v>
      </c>
      <c r="D135" s="27">
        <v>50</v>
      </c>
      <c r="E135" s="83"/>
      <c r="F135" s="84">
        <f>E135/E114*100</f>
        <v>0</v>
      </c>
      <c r="G135" s="84">
        <f t="shared" si="9"/>
        <v>100</v>
      </c>
      <c r="H135" s="85">
        <f t="shared" si="11"/>
        <v>4</v>
      </c>
      <c r="I135" s="86"/>
      <c r="J135" s="86"/>
      <c r="K135" s="87">
        <f t="shared" si="10"/>
        <v>4</v>
      </c>
    </row>
    <row r="136" spans="1:11" x14ac:dyDescent="0.2">
      <c r="A136" s="8"/>
      <c r="B136" s="81"/>
      <c r="C136" s="81"/>
      <c r="D136" s="27">
        <v>52</v>
      </c>
      <c r="E136" s="83"/>
      <c r="F136" s="84">
        <f>E136/E114*100</f>
        <v>0</v>
      </c>
      <c r="G136" s="84">
        <f t="shared" si="9"/>
        <v>100</v>
      </c>
      <c r="H136" s="85">
        <f t="shared" si="11"/>
        <v>4</v>
      </c>
      <c r="I136" s="86"/>
      <c r="J136" s="86"/>
      <c r="K136" s="87">
        <f t="shared" si="10"/>
        <v>4</v>
      </c>
    </row>
    <row r="137" spans="1:11" x14ac:dyDescent="0.2">
      <c r="A137" s="8"/>
      <c r="B137" s="81"/>
      <c r="C137" s="81"/>
      <c r="D137" s="27">
        <v>54</v>
      </c>
      <c r="E137" s="83"/>
      <c r="F137" s="84">
        <f>E137/E114*100</f>
        <v>0</v>
      </c>
      <c r="G137" s="84">
        <f t="shared" si="9"/>
        <v>100</v>
      </c>
      <c r="H137" s="85">
        <f t="shared" si="11"/>
        <v>4</v>
      </c>
      <c r="I137" s="86"/>
      <c r="J137" s="86"/>
      <c r="K137" s="87">
        <f t="shared" si="10"/>
        <v>4</v>
      </c>
    </row>
    <row r="138" spans="1:11" x14ac:dyDescent="0.2">
      <c r="A138" s="8"/>
      <c r="B138" s="81"/>
      <c r="C138" s="81" t="s">
        <v>15</v>
      </c>
      <c r="D138" s="27">
        <v>57</v>
      </c>
      <c r="E138" s="83"/>
      <c r="F138" s="84">
        <f>E138/E114*100</f>
        <v>0</v>
      </c>
      <c r="G138" s="84">
        <f t="shared" si="9"/>
        <v>100</v>
      </c>
      <c r="H138" s="85">
        <f t="shared" si="11"/>
        <v>4</v>
      </c>
      <c r="I138" s="86"/>
      <c r="J138" s="86"/>
      <c r="K138" s="87">
        <f t="shared" si="10"/>
        <v>4</v>
      </c>
    </row>
    <row r="139" spans="1:11" x14ac:dyDescent="0.2">
      <c r="A139" s="8"/>
      <c r="B139" s="81"/>
      <c r="C139" s="81"/>
      <c r="D139" s="27">
        <v>59</v>
      </c>
      <c r="E139" s="83"/>
      <c r="F139" s="84">
        <f>E139/E114*100</f>
        <v>0</v>
      </c>
      <c r="G139" s="84">
        <f t="shared" si="9"/>
        <v>100</v>
      </c>
      <c r="H139" s="85">
        <f t="shared" si="11"/>
        <v>4</v>
      </c>
      <c r="I139" s="86"/>
      <c r="J139" s="86"/>
      <c r="K139" s="87">
        <f t="shared" si="10"/>
        <v>4</v>
      </c>
    </row>
    <row r="140" spans="1:11" x14ac:dyDescent="0.2">
      <c r="A140" s="8"/>
      <c r="B140" s="81"/>
      <c r="C140" s="81"/>
      <c r="D140" s="27">
        <v>61</v>
      </c>
      <c r="E140" s="83"/>
      <c r="F140" s="84">
        <f>E140/E114*100</f>
        <v>0</v>
      </c>
      <c r="G140" s="84">
        <f t="shared" si="9"/>
        <v>100</v>
      </c>
      <c r="H140" s="85">
        <f t="shared" si="11"/>
        <v>4</v>
      </c>
      <c r="I140" s="86"/>
      <c r="J140" s="86"/>
      <c r="K140" s="87">
        <f t="shared" si="10"/>
        <v>4</v>
      </c>
    </row>
    <row r="141" spans="1:11" x14ac:dyDescent="0.2">
      <c r="A141" s="8"/>
      <c r="B141" s="81"/>
      <c r="C141" s="81"/>
      <c r="D141" s="82">
        <v>64</v>
      </c>
      <c r="E141" s="83"/>
      <c r="F141" s="84">
        <f>E141/E114*100</f>
        <v>0</v>
      </c>
      <c r="G141" s="84">
        <f t="shared" si="9"/>
        <v>100</v>
      </c>
      <c r="H141" s="85">
        <f t="shared" si="11"/>
        <v>4</v>
      </c>
      <c r="I141" s="86"/>
      <c r="J141" s="86"/>
      <c r="K141" s="87">
        <f t="shared" si="10"/>
        <v>4</v>
      </c>
    </row>
    <row r="145" spans="1:11" x14ac:dyDescent="0.2">
      <c r="A145" s="8" t="s">
        <v>23</v>
      </c>
      <c r="B145" s="40" t="s">
        <v>0</v>
      </c>
      <c r="C145" s="40" t="s">
        <v>21</v>
      </c>
      <c r="D145" s="329">
        <v>1</v>
      </c>
      <c r="E145" s="330">
        <v>19.100000000000001</v>
      </c>
      <c r="F145" s="331">
        <v>100</v>
      </c>
      <c r="G145" s="43">
        <f t="shared" ref="G145:G167" si="12">100-F145</f>
        <v>0</v>
      </c>
      <c r="H145" s="44">
        <f t="shared" ref="H145:H158" si="13">IF(G145&lt;=1, 0, IF(AND(G145&gt;1, G145&lt;=5), 1, IF(AND(G145&gt;5, G145&lt;=10), 2, IF(AND(G145&gt;10, G145&lt;=15), 3, 4))))</f>
        <v>0</v>
      </c>
      <c r="I145" s="45">
        <v>0</v>
      </c>
      <c r="J145" s="45">
        <v>0</v>
      </c>
      <c r="K145" s="44">
        <f t="shared" ref="K145:K208" si="14">AVERAGE(H145:J145)</f>
        <v>0</v>
      </c>
    </row>
    <row r="146" spans="1:11" x14ac:dyDescent="0.2">
      <c r="B146" s="46"/>
      <c r="C146" s="46"/>
      <c r="D146" s="47">
        <v>3</v>
      </c>
      <c r="E146" s="332">
        <v>17.3</v>
      </c>
      <c r="F146" s="49">
        <f t="shared" ref="F146:F172" si="15">E146/$E$145*100</f>
        <v>90.575916230366488</v>
      </c>
      <c r="G146" s="49">
        <f t="shared" si="12"/>
        <v>9.424083769633512</v>
      </c>
      <c r="H146" s="50">
        <f t="shared" si="13"/>
        <v>2</v>
      </c>
      <c r="I146" s="51">
        <v>2.5</v>
      </c>
      <c r="J146" s="45">
        <v>0</v>
      </c>
      <c r="K146" s="50">
        <f t="shared" si="14"/>
        <v>1.5</v>
      </c>
    </row>
    <row r="147" spans="1:11" x14ac:dyDescent="0.2">
      <c r="B147" s="46"/>
      <c r="C147" s="46"/>
      <c r="D147" s="47">
        <v>5</v>
      </c>
      <c r="E147" s="48">
        <v>19.7</v>
      </c>
      <c r="F147" s="49">
        <f t="shared" si="15"/>
        <v>103.1413612565445</v>
      </c>
      <c r="G147" s="49">
        <f t="shared" si="12"/>
        <v>-3.1413612565444993</v>
      </c>
      <c r="H147" s="50">
        <f t="shared" si="13"/>
        <v>0</v>
      </c>
      <c r="I147" s="51">
        <v>2</v>
      </c>
      <c r="J147" s="45">
        <v>0</v>
      </c>
      <c r="K147" s="50">
        <f t="shared" si="14"/>
        <v>0.66666666666666663</v>
      </c>
    </row>
    <row r="148" spans="1:11" x14ac:dyDescent="0.2">
      <c r="B148" s="46"/>
      <c r="C148" s="46"/>
      <c r="D148" s="47">
        <v>8</v>
      </c>
      <c r="E148" s="52">
        <v>20.8</v>
      </c>
      <c r="F148" s="49">
        <f t="shared" si="15"/>
        <v>108.90052356020942</v>
      </c>
      <c r="G148" s="49">
        <f t="shared" si="12"/>
        <v>-8.9005235602094217</v>
      </c>
      <c r="H148" s="50">
        <f t="shared" si="13"/>
        <v>0</v>
      </c>
      <c r="I148" s="51">
        <v>2</v>
      </c>
      <c r="J148" s="45">
        <v>0</v>
      </c>
      <c r="K148" s="50">
        <f t="shared" si="14"/>
        <v>0.66666666666666663</v>
      </c>
    </row>
    <row r="149" spans="1:11" x14ac:dyDescent="0.2">
      <c r="B149" s="46"/>
      <c r="C149" s="46"/>
      <c r="D149" s="47">
        <v>10</v>
      </c>
      <c r="E149" s="52">
        <v>22</v>
      </c>
      <c r="F149" s="49">
        <f t="shared" si="15"/>
        <v>115.18324607329842</v>
      </c>
      <c r="G149" s="49">
        <f t="shared" si="12"/>
        <v>-15.18324607329842</v>
      </c>
      <c r="H149" s="50">
        <f t="shared" si="13"/>
        <v>0</v>
      </c>
      <c r="I149" s="51">
        <v>3.5</v>
      </c>
      <c r="J149" s="45">
        <v>0</v>
      </c>
      <c r="K149" s="50">
        <f t="shared" si="14"/>
        <v>1.1666666666666667</v>
      </c>
    </row>
    <row r="150" spans="1:11" x14ac:dyDescent="0.2">
      <c r="B150" s="46"/>
      <c r="C150" s="46"/>
      <c r="D150" s="47">
        <v>12</v>
      </c>
      <c r="E150" s="52">
        <v>20.8</v>
      </c>
      <c r="F150" s="49">
        <f t="shared" si="15"/>
        <v>108.90052356020942</v>
      </c>
      <c r="G150" s="49">
        <f t="shared" si="12"/>
        <v>-8.9005235602094217</v>
      </c>
      <c r="H150" s="50">
        <f t="shared" si="13"/>
        <v>0</v>
      </c>
      <c r="I150" s="51">
        <v>2</v>
      </c>
      <c r="J150" s="45">
        <v>0</v>
      </c>
      <c r="K150" s="50">
        <f t="shared" si="14"/>
        <v>0.66666666666666663</v>
      </c>
    </row>
    <row r="151" spans="1:11" x14ac:dyDescent="0.2">
      <c r="B151" s="53"/>
      <c r="C151" s="53" t="s">
        <v>4</v>
      </c>
      <c r="D151" s="54">
        <v>15</v>
      </c>
      <c r="E151" s="52">
        <v>21.6</v>
      </c>
      <c r="F151" s="49">
        <f t="shared" si="15"/>
        <v>113.0890052356021</v>
      </c>
      <c r="G151" s="55">
        <f t="shared" si="12"/>
        <v>-13.089005235602102</v>
      </c>
      <c r="H151" s="56">
        <f t="shared" si="13"/>
        <v>0</v>
      </c>
      <c r="I151" s="57">
        <v>3.5</v>
      </c>
      <c r="J151" s="45">
        <v>0</v>
      </c>
      <c r="K151" s="50">
        <f t="shared" si="14"/>
        <v>1.1666666666666667</v>
      </c>
    </row>
    <row r="152" spans="1:11" x14ac:dyDescent="0.2">
      <c r="B152" s="46"/>
      <c r="C152" s="46" t="s">
        <v>3</v>
      </c>
      <c r="D152" s="47">
        <v>17</v>
      </c>
      <c r="E152" s="58">
        <v>20.3</v>
      </c>
      <c r="F152" s="49">
        <f t="shared" si="15"/>
        <v>106.28272251308901</v>
      </c>
      <c r="G152" s="49">
        <f t="shared" si="12"/>
        <v>-6.2827225130890128</v>
      </c>
      <c r="H152" s="50">
        <f t="shared" si="13"/>
        <v>0</v>
      </c>
      <c r="I152" s="51">
        <v>2</v>
      </c>
      <c r="J152" s="45">
        <v>0</v>
      </c>
      <c r="K152" s="89">
        <f t="shared" si="14"/>
        <v>0.66666666666666663</v>
      </c>
    </row>
    <row r="153" spans="1:11" x14ac:dyDescent="0.2">
      <c r="B153" s="46"/>
      <c r="C153" s="46"/>
      <c r="D153" s="47">
        <v>19</v>
      </c>
      <c r="E153" s="58">
        <v>21.9</v>
      </c>
      <c r="F153" s="49">
        <f t="shared" si="15"/>
        <v>114.65968586387434</v>
      </c>
      <c r="G153" s="49">
        <f t="shared" si="12"/>
        <v>-14.659685863874344</v>
      </c>
      <c r="H153" s="50">
        <f t="shared" si="13"/>
        <v>0</v>
      </c>
      <c r="I153" s="51">
        <v>2</v>
      </c>
      <c r="J153" s="45">
        <v>0</v>
      </c>
      <c r="K153" s="89">
        <f t="shared" si="14"/>
        <v>0.66666666666666663</v>
      </c>
    </row>
    <row r="154" spans="1:11" x14ac:dyDescent="0.2">
      <c r="B154" s="46"/>
      <c r="C154" s="46"/>
      <c r="D154" s="47">
        <v>22</v>
      </c>
      <c r="E154" s="58">
        <v>21.8</v>
      </c>
      <c r="F154" s="49">
        <f t="shared" si="15"/>
        <v>114.13612565445025</v>
      </c>
      <c r="G154" s="49">
        <f t="shared" si="12"/>
        <v>-14.136125654450254</v>
      </c>
      <c r="H154" s="50">
        <f t="shared" si="13"/>
        <v>0</v>
      </c>
      <c r="I154" s="51">
        <v>3</v>
      </c>
      <c r="J154" s="45">
        <v>0</v>
      </c>
      <c r="K154" s="90">
        <f t="shared" si="14"/>
        <v>1</v>
      </c>
    </row>
    <row r="155" spans="1:11" x14ac:dyDescent="0.2">
      <c r="B155" s="46"/>
      <c r="C155" s="46"/>
      <c r="D155" s="47">
        <v>24</v>
      </c>
      <c r="E155" s="58">
        <v>23.4</v>
      </c>
      <c r="F155" s="49">
        <f t="shared" si="15"/>
        <v>122.51308900523559</v>
      </c>
      <c r="G155" s="49">
        <f t="shared" si="12"/>
        <v>-22.513089005235585</v>
      </c>
      <c r="H155" s="50">
        <f t="shared" si="13"/>
        <v>0</v>
      </c>
      <c r="I155" s="51">
        <v>1</v>
      </c>
      <c r="J155" s="45">
        <v>0</v>
      </c>
      <c r="K155" s="90">
        <f t="shared" si="14"/>
        <v>0.33333333333333331</v>
      </c>
    </row>
    <row r="156" spans="1:11" x14ac:dyDescent="0.2">
      <c r="B156" s="59"/>
      <c r="C156" s="59"/>
      <c r="D156" s="60">
        <v>26</v>
      </c>
      <c r="E156" s="61">
        <v>23</v>
      </c>
      <c r="F156" s="49">
        <f t="shared" si="15"/>
        <v>120.41884816753925</v>
      </c>
      <c r="G156" s="62">
        <f t="shared" si="12"/>
        <v>-20.418848167539252</v>
      </c>
      <c r="H156" s="63">
        <f t="shared" si="13"/>
        <v>0</v>
      </c>
      <c r="I156" s="64">
        <v>1.5</v>
      </c>
      <c r="J156" s="45">
        <v>0</v>
      </c>
      <c r="K156" s="90">
        <f t="shared" si="14"/>
        <v>0.5</v>
      </c>
    </row>
    <row r="157" spans="1:11" x14ac:dyDescent="0.2">
      <c r="B157" s="59"/>
      <c r="C157" s="59"/>
      <c r="D157" s="60">
        <v>29</v>
      </c>
      <c r="E157" s="61">
        <v>23.3</v>
      </c>
      <c r="F157" s="49">
        <f t="shared" si="15"/>
        <v>121.98952879581151</v>
      </c>
      <c r="G157" s="62">
        <f t="shared" si="12"/>
        <v>-21.989528795811509</v>
      </c>
      <c r="H157" s="63">
        <f t="shared" si="13"/>
        <v>0</v>
      </c>
      <c r="I157" s="64">
        <v>1</v>
      </c>
      <c r="J157" s="45">
        <v>0</v>
      </c>
      <c r="K157" s="90">
        <f t="shared" si="14"/>
        <v>0.33333333333333331</v>
      </c>
    </row>
    <row r="158" spans="1:11" x14ac:dyDescent="0.2">
      <c r="B158" s="40"/>
      <c r="C158" s="40" t="s">
        <v>15</v>
      </c>
      <c r="D158" s="41">
        <v>31</v>
      </c>
      <c r="E158" s="65">
        <v>23.7</v>
      </c>
      <c r="F158" s="49">
        <f t="shared" si="15"/>
        <v>124.08376963350784</v>
      </c>
      <c r="G158" s="43">
        <f t="shared" si="12"/>
        <v>-24.083769633507842</v>
      </c>
      <c r="H158" s="44">
        <f t="shared" si="13"/>
        <v>0</v>
      </c>
      <c r="I158" s="45">
        <v>1.5</v>
      </c>
      <c r="J158" s="45">
        <v>0</v>
      </c>
      <c r="K158" s="90">
        <f t="shared" si="14"/>
        <v>0.5</v>
      </c>
    </row>
    <row r="159" spans="1:11" x14ac:dyDescent="0.2">
      <c r="B159" s="46"/>
      <c r="C159" s="46"/>
      <c r="D159" s="47">
        <v>33</v>
      </c>
      <c r="E159" s="65">
        <v>2.8</v>
      </c>
      <c r="F159" s="49">
        <f t="shared" si="15"/>
        <v>14.659685863874344</v>
      </c>
      <c r="G159" s="49">
        <f t="shared" si="12"/>
        <v>85.340314136125656</v>
      </c>
      <c r="H159" s="50">
        <f>IF(G159&lt;=1, 0, IF(AND(G159&gt;1, G159&lt;=5), 1, IF(AND(G159&gt;5, G159&lt;=10), 2, IF(AND(G159&gt;10, G159&lt;=15), 3, 4))))</f>
        <v>4</v>
      </c>
      <c r="I159" s="45">
        <v>2.5</v>
      </c>
      <c r="J159" s="45">
        <v>2</v>
      </c>
      <c r="K159" s="90">
        <f t="shared" si="14"/>
        <v>2.8333333333333335</v>
      </c>
    </row>
    <row r="160" spans="1:11" x14ac:dyDescent="0.2">
      <c r="B160" s="46"/>
      <c r="C160" s="46" t="s">
        <v>16</v>
      </c>
      <c r="D160" s="47">
        <v>36</v>
      </c>
      <c r="E160" s="58">
        <v>21.9</v>
      </c>
      <c r="F160" s="49">
        <f t="shared" si="15"/>
        <v>114.65968586387434</v>
      </c>
      <c r="G160" s="49">
        <f t="shared" si="12"/>
        <v>-14.659685863874344</v>
      </c>
      <c r="H160" s="50">
        <f t="shared" ref="H160:H186" si="16">IF(G160&lt;=1, 0, IF(AND(G160&gt;1, G160&lt;=5), 1, IF(AND(G160&gt;5, G160&lt;=10), 2, IF(AND(G160&gt;10, G160&lt;=15), 3, 4))))</f>
        <v>0</v>
      </c>
      <c r="I160" s="45">
        <v>3</v>
      </c>
      <c r="J160" s="45">
        <v>2</v>
      </c>
      <c r="K160" s="267">
        <f t="shared" si="14"/>
        <v>1.6666666666666667</v>
      </c>
    </row>
    <row r="161" spans="1:11" x14ac:dyDescent="0.2">
      <c r="B161" s="46"/>
      <c r="C161" s="46"/>
      <c r="D161" s="47">
        <v>38</v>
      </c>
      <c r="E161" s="58">
        <v>22</v>
      </c>
      <c r="F161" s="49">
        <f t="shared" si="15"/>
        <v>115.18324607329842</v>
      </c>
      <c r="G161" s="49">
        <f t="shared" si="12"/>
        <v>-15.18324607329842</v>
      </c>
      <c r="H161" s="50">
        <f t="shared" si="16"/>
        <v>0</v>
      </c>
      <c r="I161" s="45">
        <v>2.5</v>
      </c>
      <c r="J161" s="45">
        <v>0.5</v>
      </c>
      <c r="K161" s="90">
        <f t="shared" si="14"/>
        <v>1</v>
      </c>
    </row>
    <row r="162" spans="1:11" x14ac:dyDescent="0.2">
      <c r="B162" s="46"/>
      <c r="C162" s="46"/>
      <c r="D162" s="47">
        <v>40</v>
      </c>
      <c r="E162" s="58"/>
      <c r="F162" s="49">
        <f t="shared" si="15"/>
        <v>0</v>
      </c>
      <c r="G162" s="49">
        <f t="shared" si="12"/>
        <v>100</v>
      </c>
      <c r="H162" s="50">
        <f t="shared" si="16"/>
        <v>4</v>
      </c>
      <c r="I162" s="45"/>
      <c r="J162" s="45"/>
      <c r="K162" s="90">
        <f t="shared" si="14"/>
        <v>4</v>
      </c>
    </row>
    <row r="163" spans="1:11" x14ac:dyDescent="0.2">
      <c r="B163" s="46"/>
      <c r="C163" s="46" t="s">
        <v>15</v>
      </c>
      <c r="D163" s="47">
        <v>43</v>
      </c>
      <c r="E163" s="58"/>
      <c r="F163" s="49">
        <f t="shared" si="15"/>
        <v>0</v>
      </c>
      <c r="G163" s="49">
        <f t="shared" si="12"/>
        <v>100</v>
      </c>
      <c r="H163" s="50">
        <f t="shared" si="16"/>
        <v>4</v>
      </c>
      <c r="I163" s="45"/>
      <c r="J163" s="45"/>
      <c r="K163" s="90">
        <f t="shared" si="14"/>
        <v>4</v>
      </c>
    </row>
    <row r="164" spans="1:11" x14ac:dyDescent="0.2">
      <c r="B164" s="46"/>
      <c r="C164" s="46"/>
      <c r="D164" s="47">
        <v>45</v>
      </c>
      <c r="E164" s="58"/>
      <c r="F164" s="49">
        <f t="shared" si="15"/>
        <v>0</v>
      </c>
      <c r="G164" s="49">
        <f t="shared" si="12"/>
        <v>100</v>
      </c>
      <c r="H164" s="50">
        <f t="shared" si="16"/>
        <v>4</v>
      </c>
      <c r="I164" s="45"/>
      <c r="J164" s="45"/>
      <c r="K164" s="90">
        <f t="shared" si="14"/>
        <v>4</v>
      </c>
    </row>
    <row r="165" spans="1:11" x14ac:dyDescent="0.2">
      <c r="B165" s="59"/>
      <c r="C165" s="59"/>
      <c r="D165" s="60">
        <v>47</v>
      </c>
      <c r="E165" s="61"/>
      <c r="F165" s="62">
        <f t="shared" si="15"/>
        <v>0</v>
      </c>
      <c r="G165" s="62">
        <f t="shared" si="12"/>
        <v>100</v>
      </c>
      <c r="H165" s="63">
        <f t="shared" si="16"/>
        <v>4</v>
      </c>
      <c r="I165" s="91"/>
      <c r="J165" s="45"/>
      <c r="K165" s="90">
        <f t="shared" si="14"/>
        <v>4</v>
      </c>
    </row>
    <row r="166" spans="1:11" x14ac:dyDescent="0.2">
      <c r="B166" s="59"/>
      <c r="C166" s="59" t="s">
        <v>16</v>
      </c>
      <c r="D166" s="60">
        <v>50</v>
      </c>
      <c r="E166" s="61"/>
      <c r="F166" s="62">
        <f t="shared" si="15"/>
        <v>0</v>
      </c>
      <c r="G166" s="62">
        <f t="shared" si="12"/>
        <v>100</v>
      </c>
      <c r="H166" s="63">
        <f t="shared" si="16"/>
        <v>4</v>
      </c>
      <c r="I166" s="92"/>
      <c r="J166" s="45"/>
      <c r="K166" s="90">
        <f t="shared" si="14"/>
        <v>4</v>
      </c>
    </row>
    <row r="167" spans="1:11" x14ac:dyDescent="0.2">
      <c r="B167" s="59"/>
      <c r="C167" s="59"/>
      <c r="D167" s="60">
        <v>52</v>
      </c>
      <c r="E167" s="61"/>
      <c r="F167" s="62">
        <f t="shared" si="15"/>
        <v>0</v>
      </c>
      <c r="G167" s="62">
        <f t="shared" si="12"/>
        <v>100</v>
      </c>
      <c r="H167" s="63">
        <f t="shared" si="16"/>
        <v>4</v>
      </c>
      <c r="I167" s="92"/>
      <c r="J167" s="45"/>
      <c r="K167" s="90">
        <f t="shared" si="14"/>
        <v>4</v>
      </c>
    </row>
    <row r="168" spans="1:11" x14ac:dyDescent="0.2">
      <c r="B168" s="59"/>
      <c r="C168" s="59"/>
      <c r="D168" s="60">
        <v>54</v>
      </c>
      <c r="E168" s="61"/>
      <c r="F168" s="62">
        <f t="shared" si="15"/>
        <v>0</v>
      </c>
      <c r="G168" s="62">
        <f>100-F168</f>
        <v>100</v>
      </c>
      <c r="H168" s="63">
        <f t="shared" si="16"/>
        <v>4</v>
      </c>
      <c r="I168" s="92"/>
      <c r="J168" s="45"/>
      <c r="K168" s="90">
        <f t="shared" si="14"/>
        <v>4</v>
      </c>
    </row>
    <row r="169" spans="1:11" x14ac:dyDescent="0.2">
      <c r="B169" s="59"/>
      <c r="C169" s="59" t="s">
        <v>15</v>
      </c>
      <c r="D169" s="60">
        <v>57</v>
      </c>
      <c r="E169" s="61"/>
      <c r="F169" s="62">
        <f t="shared" si="15"/>
        <v>0</v>
      </c>
      <c r="G169" s="62">
        <f>100-F169</f>
        <v>100</v>
      </c>
      <c r="H169" s="63">
        <f t="shared" si="16"/>
        <v>4</v>
      </c>
      <c r="I169" s="92"/>
      <c r="J169" s="45"/>
      <c r="K169" s="90">
        <f t="shared" si="14"/>
        <v>4</v>
      </c>
    </row>
    <row r="170" spans="1:11" x14ac:dyDescent="0.2">
      <c r="B170" s="59"/>
      <c r="C170" s="59"/>
      <c r="D170" s="60">
        <v>59</v>
      </c>
      <c r="E170" s="61"/>
      <c r="F170" s="62">
        <f t="shared" si="15"/>
        <v>0</v>
      </c>
      <c r="G170" s="62">
        <f>100-F170</f>
        <v>100</v>
      </c>
      <c r="H170" s="63">
        <f t="shared" si="16"/>
        <v>4</v>
      </c>
      <c r="I170" s="92"/>
      <c r="J170" s="45"/>
      <c r="K170" s="90">
        <f t="shared" si="14"/>
        <v>4</v>
      </c>
    </row>
    <row r="171" spans="1:11" x14ac:dyDescent="0.2">
      <c r="B171" s="59"/>
      <c r="C171" s="59"/>
      <c r="D171" s="60">
        <v>61</v>
      </c>
      <c r="E171" s="61"/>
      <c r="F171" s="62">
        <f t="shared" si="15"/>
        <v>0</v>
      </c>
      <c r="G171" s="62">
        <f>100-F171</f>
        <v>100</v>
      </c>
      <c r="H171" s="63">
        <f t="shared" si="16"/>
        <v>4</v>
      </c>
      <c r="I171" s="92"/>
      <c r="J171" s="45"/>
      <c r="K171" s="90">
        <f t="shared" si="14"/>
        <v>4</v>
      </c>
    </row>
    <row r="172" spans="1:11" ht="17" thickBot="1" x14ac:dyDescent="0.25">
      <c r="B172" s="66"/>
      <c r="C172" s="66"/>
      <c r="D172" s="67">
        <v>64</v>
      </c>
      <c r="E172" s="314"/>
      <c r="F172" s="68">
        <f t="shared" si="15"/>
        <v>0</v>
      </c>
      <c r="G172" s="68">
        <f>100-F172</f>
        <v>100</v>
      </c>
      <c r="H172" s="69">
        <f t="shared" si="16"/>
        <v>4</v>
      </c>
      <c r="I172" s="70"/>
      <c r="J172" s="70"/>
      <c r="K172" s="379">
        <f t="shared" si="14"/>
        <v>4</v>
      </c>
    </row>
    <row r="173" spans="1:11" x14ac:dyDescent="0.2">
      <c r="A173" s="8" t="s">
        <v>23</v>
      </c>
      <c r="B173" s="40" t="s">
        <v>1</v>
      </c>
      <c r="C173" s="40" t="s">
        <v>21</v>
      </c>
      <c r="D173" s="41">
        <v>1</v>
      </c>
      <c r="E173" s="42">
        <v>20.5</v>
      </c>
      <c r="F173" s="43">
        <v>100</v>
      </c>
      <c r="G173" s="43">
        <f t="shared" ref="G173:G228" si="17">100-F173</f>
        <v>0</v>
      </c>
      <c r="H173" s="44">
        <f t="shared" si="16"/>
        <v>0</v>
      </c>
      <c r="I173" s="45">
        <v>0</v>
      </c>
      <c r="J173" s="45">
        <v>0</v>
      </c>
      <c r="K173" s="378">
        <f t="shared" si="14"/>
        <v>0</v>
      </c>
    </row>
    <row r="174" spans="1:11" x14ac:dyDescent="0.2">
      <c r="B174" s="46"/>
      <c r="C174" s="46"/>
      <c r="D174" s="47">
        <v>3</v>
      </c>
      <c r="E174" s="48">
        <v>18</v>
      </c>
      <c r="F174" s="49">
        <f t="shared" ref="F174:F200" si="18">E174/$E$173*100</f>
        <v>87.804878048780495</v>
      </c>
      <c r="G174" s="49">
        <f t="shared" si="17"/>
        <v>12.195121951219505</v>
      </c>
      <c r="H174" s="50">
        <f t="shared" si="16"/>
        <v>3</v>
      </c>
      <c r="I174" s="51">
        <v>2</v>
      </c>
      <c r="J174" s="45">
        <v>0</v>
      </c>
      <c r="K174" s="50">
        <f t="shared" si="14"/>
        <v>1.6666666666666667</v>
      </c>
    </row>
    <row r="175" spans="1:11" x14ac:dyDescent="0.2">
      <c r="B175" s="46"/>
      <c r="C175" s="46"/>
      <c r="D175" s="47">
        <v>5</v>
      </c>
      <c r="E175" s="48">
        <v>19.399999999999999</v>
      </c>
      <c r="F175" s="49">
        <f t="shared" si="18"/>
        <v>94.634146341463406</v>
      </c>
      <c r="G175" s="49">
        <f t="shared" si="17"/>
        <v>5.3658536585365937</v>
      </c>
      <c r="H175" s="50">
        <f t="shared" si="16"/>
        <v>2</v>
      </c>
      <c r="I175" s="51">
        <v>1.5</v>
      </c>
      <c r="J175" s="45">
        <v>0</v>
      </c>
      <c r="K175" s="50">
        <f t="shared" si="14"/>
        <v>1.1666666666666667</v>
      </c>
    </row>
    <row r="176" spans="1:11" x14ac:dyDescent="0.2">
      <c r="B176" s="46"/>
      <c r="C176" s="46"/>
      <c r="D176" s="47">
        <v>8</v>
      </c>
      <c r="E176" s="52">
        <v>20.100000000000001</v>
      </c>
      <c r="F176" s="49">
        <f t="shared" si="18"/>
        <v>98.048780487804891</v>
      </c>
      <c r="G176" s="49">
        <f t="shared" si="17"/>
        <v>1.9512195121951095</v>
      </c>
      <c r="H176" s="50">
        <f t="shared" si="16"/>
        <v>1</v>
      </c>
      <c r="I176" s="51">
        <v>2.5</v>
      </c>
      <c r="J176" s="45">
        <v>0</v>
      </c>
      <c r="K176" s="50">
        <f t="shared" si="14"/>
        <v>1.1666666666666667</v>
      </c>
    </row>
    <row r="177" spans="2:11" x14ac:dyDescent="0.2">
      <c r="B177" s="46"/>
      <c r="C177" s="46"/>
      <c r="D177" s="47">
        <v>10</v>
      </c>
      <c r="E177" s="52">
        <v>22.2</v>
      </c>
      <c r="F177" s="49">
        <f t="shared" si="18"/>
        <v>108.29268292682927</v>
      </c>
      <c r="G177" s="49">
        <f t="shared" si="17"/>
        <v>-8.2926829268292721</v>
      </c>
      <c r="H177" s="50">
        <f t="shared" si="16"/>
        <v>0</v>
      </c>
      <c r="I177" s="51">
        <v>3</v>
      </c>
      <c r="J177" s="45">
        <v>0</v>
      </c>
      <c r="K177" s="50">
        <f t="shared" si="14"/>
        <v>1</v>
      </c>
    </row>
    <row r="178" spans="2:11" x14ac:dyDescent="0.2">
      <c r="B178" s="46"/>
      <c r="C178" s="46"/>
      <c r="D178" s="47">
        <v>12</v>
      </c>
      <c r="E178" s="52">
        <v>20.7</v>
      </c>
      <c r="F178" s="49">
        <f t="shared" si="18"/>
        <v>100.97560975609755</v>
      </c>
      <c r="G178" s="49">
        <f t="shared" si="17"/>
        <v>-0.97560975609755474</v>
      </c>
      <c r="H178" s="50">
        <f t="shared" si="16"/>
        <v>0</v>
      </c>
      <c r="I178" s="51">
        <v>2</v>
      </c>
      <c r="J178" s="45">
        <v>0</v>
      </c>
      <c r="K178" s="50">
        <f t="shared" si="14"/>
        <v>0.66666666666666663</v>
      </c>
    </row>
    <row r="179" spans="2:11" x14ac:dyDescent="0.2">
      <c r="B179" s="53"/>
      <c r="C179" s="53" t="s">
        <v>4</v>
      </c>
      <c r="D179" s="54">
        <v>15</v>
      </c>
      <c r="E179" s="52">
        <v>21.2</v>
      </c>
      <c r="F179" s="49">
        <f t="shared" si="18"/>
        <v>103.41463414634147</v>
      </c>
      <c r="G179" s="55">
        <f t="shared" si="17"/>
        <v>-3.41463414634147</v>
      </c>
      <c r="H179" s="56">
        <f t="shared" si="16"/>
        <v>0</v>
      </c>
      <c r="I179" s="57">
        <v>3.5</v>
      </c>
      <c r="J179" s="45">
        <v>0</v>
      </c>
      <c r="K179" s="50">
        <f t="shared" si="14"/>
        <v>1.1666666666666667</v>
      </c>
    </row>
    <row r="180" spans="2:11" x14ac:dyDescent="0.2">
      <c r="B180" s="46"/>
      <c r="C180" s="46" t="s">
        <v>3</v>
      </c>
      <c r="D180" s="47">
        <v>17</v>
      </c>
      <c r="E180" s="58">
        <v>21.2</v>
      </c>
      <c r="F180" s="49">
        <f t="shared" si="18"/>
        <v>103.41463414634147</v>
      </c>
      <c r="G180" s="49">
        <f t="shared" si="17"/>
        <v>-3.41463414634147</v>
      </c>
      <c r="H180" s="50">
        <f t="shared" si="16"/>
        <v>0</v>
      </c>
      <c r="I180" s="51">
        <v>3</v>
      </c>
      <c r="J180" s="45">
        <v>0</v>
      </c>
      <c r="K180" s="89">
        <f t="shared" si="14"/>
        <v>1</v>
      </c>
    </row>
    <row r="181" spans="2:11" x14ac:dyDescent="0.2">
      <c r="B181" s="46"/>
      <c r="C181" s="46"/>
      <c r="D181" s="47">
        <v>19</v>
      </c>
      <c r="E181" s="58">
        <v>21.5</v>
      </c>
      <c r="F181" s="49">
        <f t="shared" si="18"/>
        <v>104.8780487804878</v>
      </c>
      <c r="G181" s="49">
        <f t="shared" si="17"/>
        <v>-4.8780487804878021</v>
      </c>
      <c r="H181" s="50">
        <f t="shared" si="16"/>
        <v>0</v>
      </c>
      <c r="I181" s="51">
        <v>2</v>
      </c>
      <c r="J181" s="45">
        <v>0</v>
      </c>
      <c r="K181" s="90">
        <f t="shared" si="14"/>
        <v>0.66666666666666663</v>
      </c>
    </row>
    <row r="182" spans="2:11" x14ac:dyDescent="0.2">
      <c r="B182" s="46"/>
      <c r="C182" s="46"/>
      <c r="D182" s="47">
        <v>22</v>
      </c>
      <c r="E182" s="58">
        <v>21.3</v>
      </c>
      <c r="F182" s="49">
        <f t="shared" si="18"/>
        <v>103.90243902439025</v>
      </c>
      <c r="G182" s="49">
        <f t="shared" si="17"/>
        <v>-3.9024390243902474</v>
      </c>
      <c r="H182" s="50">
        <f t="shared" si="16"/>
        <v>0</v>
      </c>
      <c r="I182" s="51">
        <v>3</v>
      </c>
      <c r="J182" s="45">
        <v>0</v>
      </c>
      <c r="K182" s="90">
        <f t="shared" si="14"/>
        <v>1</v>
      </c>
    </row>
    <row r="183" spans="2:11" x14ac:dyDescent="0.2">
      <c r="B183" s="46"/>
      <c r="C183" s="46"/>
      <c r="D183" s="47">
        <v>24</v>
      </c>
      <c r="E183" s="58">
        <v>21.4</v>
      </c>
      <c r="F183" s="49">
        <f t="shared" si="18"/>
        <v>104.39024390243902</v>
      </c>
      <c r="G183" s="49">
        <f t="shared" si="17"/>
        <v>-4.3902439024390247</v>
      </c>
      <c r="H183" s="50">
        <f t="shared" si="16"/>
        <v>0</v>
      </c>
      <c r="I183" s="51">
        <v>2</v>
      </c>
      <c r="J183" s="45">
        <v>0</v>
      </c>
      <c r="K183" s="90">
        <f t="shared" si="14"/>
        <v>0.66666666666666663</v>
      </c>
    </row>
    <row r="184" spans="2:11" x14ac:dyDescent="0.2">
      <c r="B184" s="59"/>
      <c r="C184" s="59"/>
      <c r="D184" s="60">
        <v>26</v>
      </c>
      <c r="E184" s="265">
        <v>21.8</v>
      </c>
      <c r="F184" s="62">
        <f t="shared" si="18"/>
        <v>106.34146341463415</v>
      </c>
      <c r="G184" s="62">
        <f t="shared" si="17"/>
        <v>-6.3414634146341484</v>
      </c>
      <c r="H184" s="63">
        <f t="shared" si="16"/>
        <v>0</v>
      </c>
      <c r="I184" s="64">
        <v>2</v>
      </c>
      <c r="J184" s="45">
        <v>0</v>
      </c>
      <c r="K184" s="90">
        <f t="shared" si="14"/>
        <v>0.66666666666666663</v>
      </c>
    </row>
    <row r="185" spans="2:11" x14ac:dyDescent="0.2">
      <c r="B185" s="59"/>
      <c r="C185" s="59"/>
      <c r="D185" s="60">
        <v>29</v>
      </c>
      <c r="E185" s="265">
        <v>22</v>
      </c>
      <c r="F185" s="62">
        <f t="shared" si="18"/>
        <v>107.31707317073172</v>
      </c>
      <c r="G185" s="62">
        <f t="shared" si="17"/>
        <v>-7.3170731707317174</v>
      </c>
      <c r="H185" s="63">
        <f t="shared" si="16"/>
        <v>0</v>
      </c>
      <c r="I185" s="64">
        <v>2</v>
      </c>
      <c r="J185" s="45">
        <v>0</v>
      </c>
      <c r="K185" s="90">
        <f t="shared" si="14"/>
        <v>0.66666666666666663</v>
      </c>
    </row>
    <row r="186" spans="2:11" x14ac:dyDescent="0.2">
      <c r="B186" s="40"/>
      <c r="C186" s="40" t="s">
        <v>15</v>
      </c>
      <c r="D186" s="41">
        <v>31</v>
      </c>
      <c r="E186" s="65">
        <v>21.4</v>
      </c>
      <c r="F186" s="43">
        <f t="shared" si="18"/>
        <v>104.39024390243902</v>
      </c>
      <c r="G186" s="43">
        <f>100-F186</f>
        <v>-4.3902439024390247</v>
      </c>
      <c r="H186" s="44">
        <f t="shared" si="16"/>
        <v>0</v>
      </c>
      <c r="I186" s="45">
        <v>2</v>
      </c>
      <c r="J186" s="45">
        <v>1.5</v>
      </c>
      <c r="K186" s="90">
        <f t="shared" si="14"/>
        <v>1.1666666666666667</v>
      </c>
    </row>
    <row r="187" spans="2:11" x14ac:dyDescent="0.2">
      <c r="B187" s="46"/>
      <c r="C187" s="46"/>
      <c r="D187" s="47">
        <v>33</v>
      </c>
      <c r="E187" s="65">
        <v>21.6</v>
      </c>
      <c r="F187" s="49">
        <f t="shared" si="18"/>
        <v>105.36585365853659</v>
      </c>
      <c r="G187" s="49">
        <f t="shared" si="17"/>
        <v>-5.3658536585365937</v>
      </c>
      <c r="H187" s="50">
        <f>IF(G187&lt;=1, 0, IF(AND(G187&gt;1, G187&lt;=5), 1, IF(AND(G187&gt;5, G187&lt;=10), 2, IF(AND(G187&gt;10, G187&lt;=15), 3, 4))))</f>
        <v>0</v>
      </c>
      <c r="I187" s="45">
        <v>3</v>
      </c>
      <c r="J187" s="45">
        <v>4</v>
      </c>
      <c r="K187" s="90">
        <f t="shared" si="14"/>
        <v>2.3333333333333335</v>
      </c>
    </row>
    <row r="188" spans="2:11" x14ac:dyDescent="0.2">
      <c r="B188" s="46"/>
      <c r="C188" s="46" t="s">
        <v>16</v>
      </c>
      <c r="D188" s="47">
        <v>36</v>
      </c>
      <c r="E188" s="58">
        <v>17.7</v>
      </c>
      <c r="F188" s="49">
        <f t="shared" si="18"/>
        <v>86.341463414634148</v>
      </c>
      <c r="G188" s="49">
        <f t="shared" si="17"/>
        <v>13.658536585365852</v>
      </c>
      <c r="H188" s="50">
        <f t="shared" ref="H188:H228" si="19">IF(G188&lt;=1, 0, IF(AND(G188&gt;1, G188&lt;=5), 1, IF(AND(G188&gt;5, G188&lt;=10), 2, IF(AND(G188&gt;10, G188&lt;=15), 3, 4))))</f>
        <v>3</v>
      </c>
      <c r="I188" s="45">
        <v>1.5</v>
      </c>
      <c r="J188" s="45">
        <v>1.5</v>
      </c>
      <c r="K188" s="267">
        <f t="shared" si="14"/>
        <v>2</v>
      </c>
    </row>
    <row r="189" spans="2:11" x14ac:dyDescent="0.2">
      <c r="B189" s="46"/>
      <c r="C189" s="46"/>
      <c r="D189" s="47">
        <v>38</v>
      </c>
      <c r="E189" s="58">
        <v>17.3</v>
      </c>
      <c r="F189" s="49">
        <f t="shared" si="18"/>
        <v>84.390243902439039</v>
      </c>
      <c r="G189" s="49">
        <f t="shared" si="17"/>
        <v>15.609756097560961</v>
      </c>
      <c r="H189" s="50">
        <f t="shared" si="19"/>
        <v>4</v>
      </c>
      <c r="I189" s="45">
        <v>2.5</v>
      </c>
      <c r="J189" s="45">
        <v>0</v>
      </c>
      <c r="K189" s="90">
        <f t="shared" si="14"/>
        <v>2.1666666666666665</v>
      </c>
    </row>
    <row r="190" spans="2:11" x14ac:dyDescent="0.2">
      <c r="B190" s="46"/>
      <c r="C190" s="46"/>
      <c r="D190" s="47">
        <v>40</v>
      </c>
      <c r="E190" s="58"/>
      <c r="F190" s="49">
        <f t="shared" si="18"/>
        <v>0</v>
      </c>
      <c r="G190" s="49">
        <f t="shared" si="17"/>
        <v>100</v>
      </c>
      <c r="H190" s="50">
        <f t="shared" si="19"/>
        <v>4</v>
      </c>
      <c r="I190" s="45"/>
      <c r="J190" s="45"/>
      <c r="K190" s="90">
        <f t="shared" si="14"/>
        <v>4</v>
      </c>
    </row>
    <row r="191" spans="2:11" x14ac:dyDescent="0.2">
      <c r="B191" s="46"/>
      <c r="C191" s="46" t="s">
        <v>15</v>
      </c>
      <c r="D191" s="47">
        <v>43</v>
      </c>
      <c r="E191" s="58"/>
      <c r="F191" s="49">
        <f t="shared" si="18"/>
        <v>0</v>
      </c>
      <c r="G191" s="49">
        <f t="shared" si="17"/>
        <v>100</v>
      </c>
      <c r="H191" s="50">
        <f t="shared" si="19"/>
        <v>4</v>
      </c>
      <c r="I191" s="45"/>
      <c r="J191" s="45"/>
      <c r="K191" s="90">
        <f t="shared" si="14"/>
        <v>4</v>
      </c>
    </row>
    <row r="192" spans="2:11" x14ac:dyDescent="0.2">
      <c r="B192" s="46"/>
      <c r="C192" s="46"/>
      <c r="D192" s="47">
        <v>45</v>
      </c>
      <c r="E192" s="272"/>
      <c r="F192" s="49">
        <f t="shared" si="18"/>
        <v>0</v>
      </c>
      <c r="G192" s="49">
        <f t="shared" si="17"/>
        <v>100</v>
      </c>
      <c r="H192" s="50">
        <f t="shared" si="19"/>
        <v>4</v>
      </c>
      <c r="I192" s="45"/>
      <c r="J192" s="45"/>
      <c r="K192" s="90">
        <f t="shared" si="14"/>
        <v>4</v>
      </c>
    </row>
    <row r="193" spans="1:11" x14ac:dyDescent="0.2">
      <c r="B193" s="59"/>
      <c r="C193" s="59"/>
      <c r="D193" s="60">
        <v>47</v>
      </c>
      <c r="E193" s="265"/>
      <c r="F193" s="62">
        <f t="shared" si="18"/>
        <v>0</v>
      </c>
      <c r="G193" s="62">
        <f t="shared" si="17"/>
        <v>100</v>
      </c>
      <c r="H193" s="63">
        <f t="shared" si="19"/>
        <v>4</v>
      </c>
      <c r="I193" s="91"/>
      <c r="J193" s="45"/>
      <c r="K193" s="90">
        <f t="shared" si="14"/>
        <v>4</v>
      </c>
    </row>
    <row r="194" spans="1:11" x14ac:dyDescent="0.2">
      <c r="B194" s="59"/>
      <c r="C194" s="59" t="s">
        <v>16</v>
      </c>
      <c r="D194" s="60">
        <v>50</v>
      </c>
      <c r="E194" s="61"/>
      <c r="F194" s="62">
        <f t="shared" si="18"/>
        <v>0</v>
      </c>
      <c r="G194" s="62">
        <f t="shared" si="17"/>
        <v>100</v>
      </c>
      <c r="H194" s="63">
        <f t="shared" si="19"/>
        <v>4</v>
      </c>
      <c r="I194" s="92"/>
      <c r="J194" s="45"/>
      <c r="K194" s="90">
        <f t="shared" si="14"/>
        <v>4</v>
      </c>
    </row>
    <row r="195" spans="1:11" x14ac:dyDescent="0.2">
      <c r="B195" s="59"/>
      <c r="C195" s="59"/>
      <c r="D195" s="60">
        <v>52</v>
      </c>
      <c r="E195" s="265"/>
      <c r="F195" s="62">
        <f t="shared" si="18"/>
        <v>0</v>
      </c>
      <c r="G195" s="62">
        <f t="shared" si="17"/>
        <v>100</v>
      </c>
      <c r="H195" s="63">
        <f t="shared" si="19"/>
        <v>4</v>
      </c>
      <c r="I195" s="92"/>
      <c r="J195" s="45"/>
      <c r="K195" s="90">
        <f t="shared" si="14"/>
        <v>4</v>
      </c>
    </row>
    <row r="196" spans="1:11" x14ac:dyDescent="0.2">
      <c r="B196" s="59"/>
      <c r="C196" s="59"/>
      <c r="D196" s="60">
        <v>54</v>
      </c>
      <c r="E196" s="61"/>
      <c r="F196" s="62">
        <f t="shared" si="18"/>
        <v>0</v>
      </c>
      <c r="G196" s="62">
        <f t="shared" si="17"/>
        <v>100</v>
      </c>
      <c r="H196" s="63">
        <f t="shared" si="19"/>
        <v>4</v>
      </c>
      <c r="I196" s="92"/>
      <c r="J196" s="45"/>
      <c r="K196" s="90">
        <f t="shared" si="14"/>
        <v>4</v>
      </c>
    </row>
    <row r="197" spans="1:11" x14ac:dyDescent="0.2">
      <c r="B197" s="59"/>
      <c r="C197" s="59" t="s">
        <v>15</v>
      </c>
      <c r="D197" s="60">
        <v>57</v>
      </c>
      <c r="E197" s="61"/>
      <c r="F197" s="62">
        <f t="shared" si="18"/>
        <v>0</v>
      </c>
      <c r="G197" s="62">
        <f t="shared" si="17"/>
        <v>100</v>
      </c>
      <c r="H197" s="63">
        <f t="shared" si="19"/>
        <v>4</v>
      </c>
      <c r="I197" s="92"/>
      <c r="J197" s="45"/>
      <c r="K197" s="90">
        <f t="shared" si="14"/>
        <v>4</v>
      </c>
    </row>
    <row r="198" spans="1:11" x14ac:dyDescent="0.2">
      <c r="B198" s="59"/>
      <c r="C198" s="59"/>
      <c r="D198" s="60">
        <v>59</v>
      </c>
      <c r="E198" s="61"/>
      <c r="F198" s="62">
        <f t="shared" si="18"/>
        <v>0</v>
      </c>
      <c r="G198" s="62">
        <f t="shared" si="17"/>
        <v>100</v>
      </c>
      <c r="H198" s="63">
        <f t="shared" si="19"/>
        <v>4</v>
      </c>
      <c r="I198" s="92"/>
      <c r="J198" s="45"/>
      <c r="K198" s="90">
        <f t="shared" si="14"/>
        <v>4</v>
      </c>
    </row>
    <row r="199" spans="1:11" x14ac:dyDescent="0.2">
      <c r="B199" s="59"/>
      <c r="C199" s="59"/>
      <c r="D199" s="60">
        <v>61</v>
      </c>
      <c r="E199" s="61"/>
      <c r="F199" s="62">
        <f t="shared" si="18"/>
        <v>0</v>
      </c>
      <c r="G199" s="62">
        <f t="shared" si="17"/>
        <v>100</v>
      </c>
      <c r="H199" s="63">
        <f t="shared" si="19"/>
        <v>4</v>
      </c>
      <c r="I199" s="276"/>
      <c r="J199" s="276"/>
      <c r="K199" s="277">
        <f t="shared" si="14"/>
        <v>4</v>
      </c>
    </row>
    <row r="200" spans="1:11" ht="17" thickBot="1" x14ac:dyDescent="0.25">
      <c r="B200" s="278"/>
      <c r="C200" s="278"/>
      <c r="D200" s="67">
        <v>64</v>
      </c>
      <c r="E200" s="280"/>
      <c r="F200" s="281">
        <f t="shared" si="18"/>
        <v>0</v>
      </c>
      <c r="G200" s="281">
        <f t="shared" si="17"/>
        <v>100</v>
      </c>
      <c r="H200" s="282">
        <f t="shared" si="19"/>
        <v>4</v>
      </c>
      <c r="I200" s="283"/>
      <c r="J200" s="283"/>
      <c r="K200" s="284">
        <f t="shared" si="14"/>
        <v>4</v>
      </c>
    </row>
    <row r="201" spans="1:11" x14ac:dyDescent="0.2">
      <c r="A201" s="333" t="s">
        <v>23</v>
      </c>
      <c r="B201" s="73" t="s">
        <v>2</v>
      </c>
      <c r="C201" s="94" t="s">
        <v>21</v>
      </c>
      <c r="D201" s="41">
        <v>1</v>
      </c>
      <c r="E201" s="95">
        <v>20</v>
      </c>
      <c r="F201" s="96">
        <v>100</v>
      </c>
      <c r="G201" s="96">
        <f t="shared" si="17"/>
        <v>0</v>
      </c>
      <c r="H201" s="97">
        <f t="shared" si="19"/>
        <v>0</v>
      </c>
      <c r="I201" s="93">
        <v>0</v>
      </c>
      <c r="J201" s="93">
        <v>0</v>
      </c>
      <c r="K201" s="44">
        <f t="shared" si="14"/>
        <v>0</v>
      </c>
    </row>
    <row r="202" spans="1:11" x14ac:dyDescent="0.2">
      <c r="B202" s="98"/>
      <c r="C202" s="98"/>
      <c r="D202" s="47">
        <v>3</v>
      </c>
      <c r="E202" s="100">
        <v>17.7</v>
      </c>
      <c r="F202" s="101">
        <f t="shared" ref="F202:F228" si="20">E202/$E$201*100</f>
        <v>88.5</v>
      </c>
      <c r="G202" s="101">
        <f t="shared" si="17"/>
        <v>11.5</v>
      </c>
      <c r="H202" s="102">
        <f t="shared" si="19"/>
        <v>3</v>
      </c>
      <c r="I202" s="103">
        <v>0.5</v>
      </c>
      <c r="J202" s="103">
        <v>0</v>
      </c>
      <c r="K202" s="44">
        <f t="shared" si="14"/>
        <v>1.1666666666666667</v>
      </c>
    </row>
    <row r="203" spans="1:11" x14ac:dyDescent="0.2">
      <c r="B203" s="98"/>
      <c r="C203" s="98"/>
      <c r="D203" s="47">
        <v>5</v>
      </c>
      <c r="E203" s="100">
        <v>19.899999999999999</v>
      </c>
      <c r="F203" s="101">
        <f t="shared" si="20"/>
        <v>99.499999999999986</v>
      </c>
      <c r="G203" s="101">
        <f t="shared" si="17"/>
        <v>0.50000000000001421</v>
      </c>
      <c r="H203" s="102">
        <f t="shared" si="19"/>
        <v>0</v>
      </c>
      <c r="I203" s="103">
        <v>1.5</v>
      </c>
      <c r="J203" s="103">
        <v>0</v>
      </c>
      <c r="K203" s="44">
        <f t="shared" si="14"/>
        <v>0.5</v>
      </c>
    </row>
    <row r="204" spans="1:11" x14ac:dyDescent="0.2">
      <c r="B204" s="98"/>
      <c r="C204" s="98"/>
      <c r="D204" s="47">
        <v>8</v>
      </c>
      <c r="E204" s="100">
        <v>17.600000000000001</v>
      </c>
      <c r="F204" s="101">
        <f t="shared" si="20"/>
        <v>88.000000000000014</v>
      </c>
      <c r="G204" s="101">
        <f t="shared" si="17"/>
        <v>11.999999999999986</v>
      </c>
      <c r="H204" s="102">
        <f t="shared" si="19"/>
        <v>3</v>
      </c>
      <c r="I204" s="103">
        <v>1.5</v>
      </c>
      <c r="J204" s="103">
        <v>0</v>
      </c>
      <c r="K204" s="44">
        <f t="shared" si="14"/>
        <v>1.5</v>
      </c>
    </row>
    <row r="205" spans="1:11" x14ac:dyDescent="0.2">
      <c r="B205" s="98"/>
      <c r="C205" s="98"/>
      <c r="D205" s="47">
        <v>10</v>
      </c>
      <c r="E205" s="100">
        <v>19.399999999999999</v>
      </c>
      <c r="F205" s="101">
        <f t="shared" si="20"/>
        <v>97</v>
      </c>
      <c r="G205" s="101">
        <f t="shared" si="17"/>
        <v>3</v>
      </c>
      <c r="H205" s="102">
        <f t="shared" si="19"/>
        <v>1</v>
      </c>
      <c r="I205" s="103">
        <v>2.5</v>
      </c>
      <c r="J205" s="103">
        <v>0</v>
      </c>
      <c r="K205" s="44">
        <f t="shared" si="14"/>
        <v>1.1666666666666667</v>
      </c>
    </row>
    <row r="206" spans="1:11" x14ac:dyDescent="0.2">
      <c r="B206" s="98"/>
      <c r="C206" s="98"/>
      <c r="D206" s="47">
        <v>12</v>
      </c>
      <c r="E206" s="100">
        <v>20.2</v>
      </c>
      <c r="F206" s="101">
        <f t="shared" si="20"/>
        <v>101</v>
      </c>
      <c r="G206" s="101">
        <f t="shared" si="17"/>
        <v>-1</v>
      </c>
      <c r="H206" s="102">
        <f t="shared" si="19"/>
        <v>0</v>
      </c>
      <c r="I206" s="103">
        <v>3</v>
      </c>
      <c r="J206" s="103">
        <v>0</v>
      </c>
      <c r="K206" s="44">
        <f t="shared" si="14"/>
        <v>1</v>
      </c>
    </row>
    <row r="207" spans="1:11" x14ac:dyDescent="0.2">
      <c r="B207" s="98"/>
      <c r="C207" s="105" t="s">
        <v>4</v>
      </c>
      <c r="D207" s="54">
        <v>15</v>
      </c>
      <c r="E207" s="100">
        <v>22.4</v>
      </c>
      <c r="F207" s="101">
        <f t="shared" si="20"/>
        <v>111.99999999999999</v>
      </c>
      <c r="G207" s="101">
        <f t="shared" si="17"/>
        <v>-11.999999999999986</v>
      </c>
      <c r="H207" s="102">
        <f t="shared" si="19"/>
        <v>0</v>
      </c>
      <c r="I207" s="103">
        <v>4</v>
      </c>
      <c r="J207" s="103">
        <v>0</v>
      </c>
      <c r="K207" s="44">
        <f t="shared" si="14"/>
        <v>1.3333333333333333</v>
      </c>
    </row>
    <row r="208" spans="1:11" x14ac:dyDescent="0.2">
      <c r="B208" s="98"/>
      <c r="C208" s="98" t="s">
        <v>3</v>
      </c>
      <c r="D208" s="47">
        <v>17</v>
      </c>
      <c r="E208" s="100">
        <v>21.7</v>
      </c>
      <c r="F208" s="101">
        <f t="shared" si="20"/>
        <v>108.5</v>
      </c>
      <c r="G208" s="101">
        <f t="shared" si="17"/>
        <v>-8.5</v>
      </c>
      <c r="H208" s="102">
        <f t="shared" si="19"/>
        <v>0</v>
      </c>
      <c r="I208" s="103">
        <v>2.5</v>
      </c>
      <c r="J208" s="103">
        <v>0</v>
      </c>
      <c r="K208" s="104">
        <f t="shared" si="14"/>
        <v>0.83333333333333337</v>
      </c>
    </row>
    <row r="209" spans="1:11" x14ac:dyDescent="0.2">
      <c r="B209" s="98"/>
      <c r="C209" s="98"/>
      <c r="D209" s="47">
        <v>19</v>
      </c>
      <c r="E209" s="100">
        <v>21.8</v>
      </c>
      <c r="F209" s="101">
        <f t="shared" si="20"/>
        <v>109.00000000000001</v>
      </c>
      <c r="G209" s="101">
        <f t="shared" si="17"/>
        <v>-9.0000000000000142</v>
      </c>
      <c r="H209" s="102">
        <f t="shared" si="19"/>
        <v>0</v>
      </c>
      <c r="I209" s="103">
        <v>2</v>
      </c>
      <c r="J209" s="103">
        <v>0</v>
      </c>
      <c r="K209" s="104">
        <f t="shared" ref="K209:K236" si="21">AVERAGE(H209:J209)</f>
        <v>0.66666666666666663</v>
      </c>
    </row>
    <row r="210" spans="1:11" x14ac:dyDescent="0.2">
      <c r="A210" s="7"/>
      <c r="B210" s="98"/>
      <c r="C210" s="98"/>
      <c r="D210" s="47">
        <v>22</v>
      </c>
      <c r="E210" s="100">
        <v>22</v>
      </c>
      <c r="F210" s="101">
        <f t="shared" si="20"/>
        <v>110.00000000000001</v>
      </c>
      <c r="G210" s="101">
        <f t="shared" si="17"/>
        <v>-10.000000000000014</v>
      </c>
      <c r="H210" s="102">
        <f t="shared" si="19"/>
        <v>0</v>
      </c>
      <c r="I210" s="103">
        <v>2.5</v>
      </c>
      <c r="J210" s="103">
        <v>0</v>
      </c>
      <c r="K210" s="104">
        <f t="shared" si="21"/>
        <v>0.83333333333333337</v>
      </c>
    </row>
    <row r="211" spans="1:11" x14ac:dyDescent="0.2">
      <c r="A211" s="7"/>
      <c r="B211" s="98"/>
      <c r="C211" s="98"/>
      <c r="D211" s="47">
        <v>24</v>
      </c>
      <c r="E211" s="100">
        <v>22.6</v>
      </c>
      <c r="F211" s="101">
        <f t="shared" si="20"/>
        <v>113.00000000000001</v>
      </c>
      <c r="G211" s="101">
        <f t="shared" si="17"/>
        <v>-13.000000000000014</v>
      </c>
      <c r="H211" s="102">
        <f t="shared" si="19"/>
        <v>0</v>
      </c>
      <c r="I211" s="103">
        <v>3</v>
      </c>
      <c r="J211" s="103">
        <v>0</v>
      </c>
      <c r="K211" s="104">
        <f t="shared" si="21"/>
        <v>1</v>
      </c>
    </row>
    <row r="212" spans="1:11" x14ac:dyDescent="0.2">
      <c r="A212" s="7"/>
      <c r="B212" s="98"/>
      <c r="C212" s="98"/>
      <c r="D212" s="60">
        <v>26</v>
      </c>
      <c r="E212" s="100">
        <v>22.6</v>
      </c>
      <c r="F212" s="101">
        <f t="shared" si="20"/>
        <v>113.00000000000001</v>
      </c>
      <c r="G212" s="101">
        <f t="shared" si="17"/>
        <v>-13.000000000000014</v>
      </c>
      <c r="H212" s="102">
        <f t="shared" si="19"/>
        <v>0</v>
      </c>
      <c r="I212" s="103">
        <v>3</v>
      </c>
      <c r="J212" s="103">
        <v>0</v>
      </c>
      <c r="K212" s="104">
        <f t="shared" si="21"/>
        <v>1</v>
      </c>
    </row>
    <row r="213" spans="1:11" x14ac:dyDescent="0.2">
      <c r="A213" s="7"/>
      <c r="B213" s="98"/>
      <c r="C213" s="98"/>
      <c r="D213" s="60">
        <v>29</v>
      </c>
      <c r="E213" s="100">
        <v>24</v>
      </c>
      <c r="F213" s="101">
        <f t="shared" si="20"/>
        <v>120</v>
      </c>
      <c r="G213" s="101">
        <f t="shared" si="17"/>
        <v>-20</v>
      </c>
      <c r="H213" s="102">
        <f t="shared" si="19"/>
        <v>0</v>
      </c>
      <c r="I213" s="103">
        <v>3</v>
      </c>
      <c r="J213" s="103">
        <v>0</v>
      </c>
      <c r="K213" s="104">
        <f t="shared" si="21"/>
        <v>1</v>
      </c>
    </row>
    <row r="214" spans="1:11" x14ac:dyDescent="0.2">
      <c r="A214" s="7"/>
      <c r="B214" s="98"/>
      <c r="C214" s="98" t="s">
        <v>15</v>
      </c>
      <c r="D214" s="41">
        <v>31</v>
      </c>
      <c r="E214" s="100">
        <v>23.2</v>
      </c>
      <c r="F214" s="101">
        <f t="shared" si="20"/>
        <v>115.99999999999999</v>
      </c>
      <c r="G214" s="101">
        <f t="shared" si="17"/>
        <v>-15.999999999999986</v>
      </c>
      <c r="H214" s="102">
        <f t="shared" si="19"/>
        <v>0</v>
      </c>
      <c r="I214" s="103">
        <v>2</v>
      </c>
      <c r="J214" s="103">
        <v>0</v>
      </c>
      <c r="K214" s="104">
        <f t="shared" si="21"/>
        <v>0.66666666666666663</v>
      </c>
    </row>
    <row r="215" spans="1:11" x14ac:dyDescent="0.2">
      <c r="B215" s="98"/>
      <c r="C215" s="98"/>
      <c r="D215" s="47">
        <v>33</v>
      </c>
      <c r="E215" s="100">
        <v>23.2</v>
      </c>
      <c r="F215" s="101">
        <f t="shared" si="20"/>
        <v>115.99999999999999</v>
      </c>
      <c r="G215" s="101">
        <f t="shared" si="17"/>
        <v>-15.999999999999986</v>
      </c>
      <c r="H215" s="102">
        <f t="shared" si="19"/>
        <v>0</v>
      </c>
      <c r="I215" s="103">
        <v>3.5</v>
      </c>
      <c r="J215" s="103">
        <v>3</v>
      </c>
      <c r="K215" s="104">
        <f t="shared" si="21"/>
        <v>2.1666666666666665</v>
      </c>
    </row>
    <row r="216" spans="1:11" x14ac:dyDescent="0.2">
      <c r="B216" s="98"/>
      <c r="C216" s="98" t="s">
        <v>16</v>
      </c>
      <c r="D216" s="47">
        <v>36</v>
      </c>
      <c r="E216" s="100">
        <v>20.8</v>
      </c>
      <c r="F216" s="101">
        <f t="shared" si="20"/>
        <v>104</v>
      </c>
      <c r="G216" s="101">
        <f t="shared" si="17"/>
        <v>-4</v>
      </c>
      <c r="H216" s="102">
        <f t="shared" si="19"/>
        <v>0</v>
      </c>
      <c r="I216" s="103">
        <v>1.5</v>
      </c>
      <c r="J216" s="103">
        <v>0</v>
      </c>
      <c r="K216" s="104">
        <f t="shared" si="21"/>
        <v>0.5</v>
      </c>
    </row>
    <row r="217" spans="1:11" x14ac:dyDescent="0.2">
      <c r="B217" s="98"/>
      <c r="C217" s="98"/>
      <c r="D217" s="47">
        <v>38</v>
      </c>
      <c r="E217" s="100">
        <v>19.8</v>
      </c>
      <c r="F217" s="101">
        <f t="shared" si="20"/>
        <v>99</v>
      </c>
      <c r="G217" s="101">
        <f t="shared" si="17"/>
        <v>1</v>
      </c>
      <c r="H217" s="102">
        <f t="shared" si="19"/>
        <v>0</v>
      </c>
      <c r="I217" s="103">
        <v>1.5</v>
      </c>
      <c r="J217" s="103">
        <v>0</v>
      </c>
      <c r="K217" s="104">
        <f t="shared" si="21"/>
        <v>0.5</v>
      </c>
    </row>
    <row r="218" spans="1:11" x14ac:dyDescent="0.2">
      <c r="B218" s="98"/>
      <c r="C218" s="98"/>
      <c r="D218" s="47">
        <v>40</v>
      </c>
      <c r="E218" s="100"/>
      <c r="F218" s="101">
        <f t="shared" si="20"/>
        <v>0</v>
      </c>
      <c r="G218" s="101">
        <f t="shared" si="17"/>
        <v>100</v>
      </c>
      <c r="H218" s="102">
        <f t="shared" si="19"/>
        <v>4</v>
      </c>
      <c r="I218" s="103"/>
      <c r="J218" s="103"/>
      <c r="K218" s="104">
        <f t="shared" si="21"/>
        <v>4</v>
      </c>
    </row>
    <row r="219" spans="1:11" x14ac:dyDescent="0.2">
      <c r="B219" s="98"/>
      <c r="C219" s="98" t="s">
        <v>15</v>
      </c>
      <c r="D219" s="47">
        <v>43</v>
      </c>
      <c r="E219" s="100"/>
      <c r="F219" s="101">
        <f t="shared" si="20"/>
        <v>0</v>
      </c>
      <c r="G219" s="101">
        <f t="shared" si="17"/>
        <v>100</v>
      </c>
      <c r="H219" s="102">
        <f t="shared" si="19"/>
        <v>4</v>
      </c>
      <c r="I219" s="103"/>
      <c r="J219" s="103"/>
      <c r="K219" s="104">
        <f t="shared" si="21"/>
        <v>4</v>
      </c>
    </row>
    <row r="220" spans="1:11" x14ac:dyDescent="0.2">
      <c r="B220" s="98"/>
      <c r="C220" s="98"/>
      <c r="D220" s="47">
        <v>45</v>
      </c>
      <c r="E220" s="100"/>
      <c r="F220" s="101">
        <f t="shared" si="20"/>
        <v>0</v>
      </c>
      <c r="G220" s="101">
        <f t="shared" si="17"/>
        <v>100</v>
      </c>
      <c r="H220" s="102">
        <f t="shared" si="19"/>
        <v>4</v>
      </c>
      <c r="I220" s="103"/>
      <c r="J220" s="103"/>
      <c r="K220" s="104">
        <f t="shared" si="21"/>
        <v>4</v>
      </c>
    </row>
    <row r="221" spans="1:11" x14ac:dyDescent="0.2">
      <c r="B221" s="98"/>
      <c r="C221" s="98"/>
      <c r="D221" s="60">
        <v>47</v>
      </c>
      <c r="E221" s="100"/>
      <c r="F221" s="101">
        <f t="shared" si="20"/>
        <v>0</v>
      </c>
      <c r="G221" s="101">
        <f t="shared" si="17"/>
        <v>100</v>
      </c>
      <c r="H221" s="102">
        <f t="shared" si="19"/>
        <v>4</v>
      </c>
      <c r="I221" s="103"/>
      <c r="J221" s="103"/>
      <c r="K221" s="104">
        <f t="shared" si="21"/>
        <v>4</v>
      </c>
    </row>
    <row r="222" spans="1:11" x14ac:dyDescent="0.2">
      <c r="B222" s="98"/>
      <c r="C222" s="98" t="s">
        <v>16</v>
      </c>
      <c r="D222" s="60">
        <v>50</v>
      </c>
      <c r="E222" s="274"/>
      <c r="F222" s="101">
        <f t="shared" si="20"/>
        <v>0</v>
      </c>
      <c r="G222" s="101">
        <f t="shared" si="17"/>
        <v>100</v>
      </c>
      <c r="H222" s="102">
        <f t="shared" si="19"/>
        <v>4</v>
      </c>
      <c r="I222" s="103"/>
      <c r="J222" s="103"/>
      <c r="K222" s="104">
        <f t="shared" si="21"/>
        <v>4</v>
      </c>
    </row>
    <row r="223" spans="1:11" x14ac:dyDescent="0.2">
      <c r="B223" s="98"/>
      <c r="C223" s="98"/>
      <c r="D223" s="60">
        <v>52</v>
      </c>
      <c r="E223" s="100"/>
      <c r="F223" s="101">
        <f t="shared" si="20"/>
        <v>0</v>
      </c>
      <c r="G223" s="101">
        <f t="shared" si="17"/>
        <v>100</v>
      </c>
      <c r="H223" s="102">
        <f t="shared" si="19"/>
        <v>4</v>
      </c>
      <c r="I223" s="103"/>
      <c r="J223" s="103"/>
      <c r="K223" s="104">
        <f t="shared" si="21"/>
        <v>4</v>
      </c>
    </row>
    <row r="224" spans="1:11" x14ac:dyDescent="0.2">
      <c r="B224" s="98"/>
      <c r="C224" s="98"/>
      <c r="D224" s="60">
        <v>54</v>
      </c>
      <c r="E224" s="274"/>
      <c r="F224" s="101">
        <f t="shared" si="20"/>
        <v>0</v>
      </c>
      <c r="G224" s="101">
        <f t="shared" si="17"/>
        <v>100</v>
      </c>
      <c r="H224" s="102">
        <f t="shared" si="19"/>
        <v>4</v>
      </c>
      <c r="I224" s="103"/>
      <c r="J224" s="103"/>
      <c r="K224" s="104">
        <f t="shared" si="21"/>
        <v>4</v>
      </c>
    </row>
    <row r="225" spans="1:11" x14ac:dyDescent="0.2">
      <c r="B225" s="98"/>
      <c r="C225" s="98" t="s">
        <v>15</v>
      </c>
      <c r="D225" s="60">
        <v>57</v>
      </c>
      <c r="E225" s="100"/>
      <c r="F225" s="101">
        <f t="shared" si="20"/>
        <v>0</v>
      </c>
      <c r="G225" s="101">
        <f t="shared" si="17"/>
        <v>100</v>
      </c>
      <c r="H225" s="102">
        <f t="shared" si="19"/>
        <v>4</v>
      </c>
      <c r="I225" s="103"/>
      <c r="J225" s="103"/>
      <c r="K225" s="104">
        <f t="shared" si="21"/>
        <v>4</v>
      </c>
    </row>
    <row r="226" spans="1:11" x14ac:dyDescent="0.2">
      <c r="B226" s="98"/>
      <c r="C226" s="98"/>
      <c r="D226" s="60">
        <v>59</v>
      </c>
      <c r="E226" s="100"/>
      <c r="F226" s="101">
        <f t="shared" si="20"/>
        <v>0</v>
      </c>
      <c r="G226" s="101">
        <f t="shared" si="17"/>
        <v>100</v>
      </c>
      <c r="H226" s="102">
        <f t="shared" si="19"/>
        <v>4</v>
      </c>
      <c r="I226" s="103"/>
      <c r="J226" s="103"/>
      <c r="K226" s="104">
        <f t="shared" si="21"/>
        <v>4</v>
      </c>
    </row>
    <row r="227" spans="1:11" x14ac:dyDescent="0.2">
      <c r="B227" s="334"/>
      <c r="C227" s="334"/>
      <c r="D227" s="60">
        <v>61</v>
      </c>
      <c r="E227" s="335"/>
      <c r="F227" s="336">
        <f t="shared" si="20"/>
        <v>0</v>
      </c>
      <c r="G227" s="336">
        <f t="shared" si="17"/>
        <v>100</v>
      </c>
      <c r="H227" s="337">
        <f t="shared" si="19"/>
        <v>4</v>
      </c>
      <c r="I227" s="338"/>
      <c r="J227" s="338"/>
      <c r="K227" s="339">
        <f t="shared" si="21"/>
        <v>4</v>
      </c>
    </row>
    <row r="228" spans="1:11" ht="17" thickBot="1" x14ac:dyDescent="0.25">
      <c r="B228" s="278"/>
      <c r="C228" s="278"/>
      <c r="D228" s="279">
        <v>64</v>
      </c>
      <c r="E228" s="381"/>
      <c r="F228" s="281">
        <f t="shared" si="20"/>
        <v>0</v>
      </c>
      <c r="G228" s="281">
        <f t="shared" si="17"/>
        <v>100</v>
      </c>
      <c r="H228" s="282">
        <f t="shared" si="19"/>
        <v>4</v>
      </c>
      <c r="I228" s="283"/>
      <c r="J228" s="283"/>
      <c r="K228" s="284">
        <f t="shared" si="21"/>
        <v>4</v>
      </c>
    </row>
    <row r="229" spans="1:11" x14ac:dyDescent="0.2">
      <c r="A229" s="333" t="s">
        <v>23</v>
      </c>
      <c r="B229" s="73" t="s">
        <v>17</v>
      </c>
      <c r="C229" s="73" t="s">
        <v>21</v>
      </c>
      <c r="D229" s="380">
        <v>1</v>
      </c>
      <c r="E229" s="95">
        <v>17.7</v>
      </c>
      <c r="F229" s="96">
        <v>100</v>
      </c>
      <c r="G229" s="96">
        <f t="shared" ref="G229:G284" si="22">100-F229</f>
        <v>0</v>
      </c>
      <c r="H229" s="97">
        <f t="shared" ref="H229:H284" si="23">IF(G229&lt;=1, 0, IF(AND(G229&gt;1, G229&lt;=5), 1, IF(AND(G229&gt;5, G229&lt;=10), 2, IF(AND(G229&gt;10, G229&lt;=15), 3, 4))))</f>
        <v>0</v>
      </c>
      <c r="I229" s="93">
        <v>0</v>
      </c>
      <c r="J229" s="93">
        <v>0</v>
      </c>
      <c r="K229" s="378">
        <f t="shared" si="21"/>
        <v>0</v>
      </c>
    </row>
    <row r="230" spans="1:11" x14ac:dyDescent="0.2">
      <c r="B230" s="98"/>
      <c r="C230" s="98"/>
      <c r="D230" s="47">
        <v>3</v>
      </c>
      <c r="E230" s="100">
        <v>16.3</v>
      </c>
      <c r="F230" s="101">
        <f t="shared" ref="F230:F245" si="24">E230/$E$229*100</f>
        <v>92.090395480225993</v>
      </c>
      <c r="G230" s="101">
        <f t="shared" si="22"/>
        <v>7.9096045197740068</v>
      </c>
      <c r="H230" s="102">
        <f t="shared" si="23"/>
        <v>2</v>
      </c>
      <c r="I230" s="103">
        <v>2</v>
      </c>
      <c r="J230" s="103">
        <v>0</v>
      </c>
      <c r="K230" s="44">
        <f t="shared" si="21"/>
        <v>1.3333333333333333</v>
      </c>
    </row>
    <row r="231" spans="1:11" x14ac:dyDescent="0.2">
      <c r="B231" s="98"/>
      <c r="C231" s="98"/>
      <c r="D231" s="47">
        <v>5</v>
      </c>
      <c r="E231" s="100">
        <v>18.600000000000001</v>
      </c>
      <c r="F231" s="101">
        <f t="shared" si="24"/>
        <v>105.08474576271188</v>
      </c>
      <c r="G231" s="101">
        <f t="shared" si="22"/>
        <v>-5.0847457627118757</v>
      </c>
      <c r="H231" s="102">
        <f t="shared" si="23"/>
        <v>0</v>
      </c>
      <c r="I231" s="103">
        <v>1</v>
      </c>
      <c r="J231" s="103">
        <v>0</v>
      </c>
      <c r="K231" s="44">
        <f t="shared" si="21"/>
        <v>0.33333333333333331</v>
      </c>
    </row>
    <row r="232" spans="1:11" x14ac:dyDescent="0.2">
      <c r="B232" s="98"/>
      <c r="C232" s="98"/>
      <c r="D232" s="47">
        <v>8</v>
      </c>
      <c r="E232" s="100">
        <v>19.399999999999999</v>
      </c>
      <c r="F232" s="101">
        <f t="shared" si="24"/>
        <v>109.60451977401129</v>
      </c>
      <c r="G232" s="101">
        <f t="shared" si="22"/>
        <v>-9.604519774011294</v>
      </c>
      <c r="H232" s="102">
        <f t="shared" si="23"/>
        <v>0</v>
      </c>
      <c r="I232" s="103">
        <v>2.5</v>
      </c>
      <c r="J232" s="103">
        <v>0</v>
      </c>
      <c r="K232" s="44">
        <f t="shared" si="21"/>
        <v>0.83333333333333337</v>
      </c>
    </row>
    <row r="233" spans="1:11" x14ac:dyDescent="0.2">
      <c r="B233" s="98"/>
      <c r="C233" s="98"/>
      <c r="D233" s="47">
        <v>10</v>
      </c>
      <c r="E233" s="100">
        <v>19.8</v>
      </c>
      <c r="F233" s="101">
        <f t="shared" si="24"/>
        <v>111.86440677966102</v>
      </c>
      <c r="G233" s="101">
        <f t="shared" si="22"/>
        <v>-11.864406779661024</v>
      </c>
      <c r="H233" s="102">
        <f t="shared" si="23"/>
        <v>0</v>
      </c>
      <c r="I233" s="103">
        <v>3.5</v>
      </c>
      <c r="J233" s="103">
        <v>0</v>
      </c>
      <c r="K233" s="44">
        <f t="shared" si="21"/>
        <v>1.1666666666666667</v>
      </c>
    </row>
    <row r="234" spans="1:11" x14ac:dyDescent="0.2">
      <c r="B234" s="98"/>
      <c r="C234" s="98"/>
      <c r="D234" s="47">
        <v>12</v>
      </c>
      <c r="E234" s="100">
        <v>19</v>
      </c>
      <c r="F234" s="101">
        <f t="shared" si="24"/>
        <v>107.34463276836159</v>
      </c>
      <c r="G234" s="101">
        <f t="shared" si="22"/>
        <v>-7.344632768361592</v>
      </c>
      <c r="H234" s="102">
        <f t="shared" si="23"/>
        <v>0</v>
      </c>
      <c r="I234" s="103">
        <v>3</v>
      </c>
      <c r="J234" s="103">
        <v>0</v>
      </c>
      <c r="K234" s="44">
        <f t="shared" si="21"/>
        <v>1</v>
      </c>
    </row>
    <row r="235" spans="1:11" x14ac:dyDescent="0.2">
      <c r="B235" s="98"/>
      <c r="C235" s="105" t="s">
        <v>4</v>
      </c>
      <c r="D235" s="54">
        <v>15</v>
      </c>
      <c r="E235" s="100">
        <v>19.8</v>
      </c>
      <c r="F235" s="101">
        <f t="shared" si="24"/>
        <v>111.86440677966102</v>
      </c>
      <c r="G235" s="101">
        <f t="shared" si="22"/>
        <v>-11.864406779661024</v>
      </c>
      <c r="H235" s="102">
        <f t="shared" si="23"/>
        <v>0</v>
      </c>
      <c r="I235" s="103">
        <v>4</v>
      </c>
      <c r="J235" s="103">
        <v>0</v>
      </c>
      <c r="K235" s="44">
        <f t="shared" si="21"/>
        <v>1.3333333333333333</v>
      </c>
    </row>
    <row r="236" spans="1:11" x14ac:dyDescent="0.2">
      <c r="B236" s="98"/>
      <c r="C236" s="98" t="s">
        <v>3</v>
      </c>
      <c r="D236" s="47">
        <v>17</v>
      </c>
      <c r="E236" s="100">
        <v>21.3</v>
      </c>
      <c r="F236" s="101">
        <f t="shared" si="24"/>
        <v>120.33898305084747</v>
      </c>
      <c r="G236" s="101">
        <f t="shared" si="22"/>
        <v>-20.338983050847474</v>
      </c>
      <c r="H236" s="102">
        <f t="shared" si="23"/>
        <v>0</v>
      </c>
      <c r="I236" s="103">
        <v>1</v>
      </c>
      <c r="J236" s="103">
        <v>0</v>
      </c>
      <c r="K236" s="104">
        <f t="shared" si="21"/>
        <v>0.33333333333333331</v>
      </c>
    </row>
    <row r="237" spans="1:11" x14ac:dyDescent="0.2">
      <c r="B237" s="98"/>
      <c r="C237" s="98"/>
      <c r="D237" s="47">
        <v>19</v>
      </c>
      <c r="E237" s="100">
        <v>20.7</v>
      </c>
      <c r="F237" s="101">
        <f t="shared" si="24"/>
        <v>116.94915254237289</v>
      </c>
      <c r="G237" s="101">
        <f t="shared" si="22"/>
        <v>-16.949152542372886</v>
      </c>
      <c r="H237" s="102">
        <f t="shared" si="23"/>
        <v>0</v>
      </c>
      <c r="I237" s="103">
        <v>2</v>
      </c>
      <c r="J237" s="103">
        <v>0</v>
      </c>
      <c r="K237" s="104">
        <f t="shared" ref="K237:K284" si="25">AVERAGE(H237:J237)</f>
        <v>0.66666666666666663</v>
      </c>
    </row>
    <row r="238" spans="1:11" x14ac:dyDescent="0.2">
      <c r="A238" s="7"/>
      <c r="B238" s="98"/>
      <c r="C238" s="98"/>
      <c r="D238" s="47">
        <v>22</v>
      </c>
      <c r="E238" s="100">
        <v>21</v>
      </c>
      <c r="F238" s="101">
        <f t="shared" si="24"/>
        <v>118.64406779661016</v>
      </c>
      <c r="G238" s="101">
        <f t="shared" si="22"/>
        <v>-18.644067796610159</v>
      </c>
      <c r="H238" s="102">
        <f t="shared" si="23"/>
        <v>0</v>
      </c>
      <c r="I238" s="103">
        <v>3.5</v>
      </c>
      <c r="J238" s="103">
        <v>0</v>
      </c>
      <c r="K238" s="104">
        <f t="shared" si="25"/>
        <v>1.1666666666666667</v>
      </c>
    </row>
    <row r="239" spans="1:11" x14ac:dyDescent="0.2">
      <c r="A239" s="7"/>
      <c r="B239" s="98"/>
      <c r="C239" s="98"/>
      <c r="D239" s="47">
        <v>24</v>
      </c>
      <c r="E239" s="100">
        <v>21</v>
      </c>
      <c r="F239" s="101">
        <f t="shared" si="24"/>
        <v>118.64406779661016</v>
      </c>
      <c r="G239" s="101">
        <f t="shared" si="22"/>
        <v>-18.644067796610159</v>
      </c>
      <c r="H239" s="102">
        <f t="shared" si="23"/>
        <v>0</v>
      </c>
      <c r="I239" s="103">
        <v>3</v>
      </c>
      <c r="J239" s="103">
        <v>0</v>
      </c>
      <c r="K239" s="104">
        <f t="shared" si="25"/>
        <v>1</v>
      </c>
    </row>
    <row r="240" spans="1:11" x14ac:dyDescent="0.2">
      <c r="A240" s="7"/>
      <c r="B240" s="98"/>
      <c r="C240" s="98"/>
      <c r="D240" s="60">
        <v>26</v>
      </c>
      <c r="E240" s="100">
        <v>21.2</v>
      </c>
      <c r="F240" s="101">
        <f t="shared" si="24"/>
        <v>119.77401129943503</v>
      </c>
      <c r="G240" s="101">
        <f t="shared" si="22"/>
        <v>-19.774011299435031</v>
      </c>
      <c r="H240" s="102">
        <f t="shared" si="23"/>
        <v>0</v>
      </c>
      <c r="I240" s="103">
        <v>3.5</v>
      </c>
      <c r="J240" s="103">
        <v>0</v>
      </c>
      <c r="K240" s="104">
        <f t="shared" si="25"/>
        <v>1.1666666666666667</v>
      </c>
    </row>
    <row r="241" spans="1:11" x14ac:dyDescent="0.2">
      <c r="A241" s="7"/>
      <c r="B241" s="98"/>
      <c r="C241" s="98"/>
      <c r="D241" s="60">
        <v>29</v>
      </c>
      <c r="E241" s="100">
        <v>22.1</v>
      </c>
      <c r="F241" s="101">
        <f t="shared" si="24"/>
        <v>124.85875706214691</v>
      </c>
      <c r="G241" s="101">
        <f t="shared" si="22"/>
        <v>-24.858757062146907</v>
      </c>
      <c r="H241" s="102">
        <f t="shared" si="23"/>
        <v>0</v>
      </c>
      <c r="I241" s="103">
        <v>2</v>
      </c>
      <c r="J241" s="103">
        <v>0</v>
      </c>
      <c r="K241" s="104">
        <f t="shared" si="25"/>
        <v>0.66666666666666663</v>
      </c>
    </row>
    <row r="242" spans="1:11" x14ac:dyDescent="0.2">
      <c r="A242" s="7"/>
      <c r="B242" s="98"/>
      <c r="C242" s="98" t="s">
        <v>15</v>
      </c>
      <c r="D242" s="41">
        <v>31</v>
      </c>
      <c r="E242" s="100">
        <v>22.3</v>
      </c>
      <c r="F242" s="101">
        <f t="shared" si="24"/>
        <v>125.98870056497175</v>
      </c>
      <c r="G242" s="101">
        <f t="shared" si="22"/>
        <v>-25.988700564971751</v>
      </c>
      <c r="H242" s="102">
        <f t="shared" si="23"/>
        <v>0</v>
      </c>
      <c r="I242" s="103">
        <v>2</v>
      </c>
      <c r="J242" s="103">
        <v>0</v>
      </c>
      <c r="K242" s="104">
        <f t="shared" si="25"/>
        <v>0.66666666666666663</v>
      </c>
    </row>
    <row r="243" spans="1:11" x14ac:dyDescent="0.2">
      <c r="B243" s="98"/>
      <c r="C243" s="98"/>
      <c r="D243" s="47">
        <v>33</v>
      </c>
      <c r="E243" s="100">
        <v>21.9</v>
      </c>
      <c r="F243" s="101">
        <f t="shared" si="24"/>
        <v>123.72881355932203</v>
      </c>
      <c r="G243" s="101">
        <f t="shared" si="22"/>
        <v>-23.728813559322035</v>
      </c>
      <c r="H243" s="102">
        <f t="shared" si="23"/>
        <v>0</v>
      </c>
      <c r="I243" s="103">
        <v>4</v>
      </c>
      <c r="J243" s="103">
        <v>4</v>
      </c>
      <c r="K243" s="104">
        <f t="shared" si="25"/>
        <v>2.6666666666666665</v>
      </c>
    </row>
    <row r="244" spans="1:11" x14ac:dyDescent="0.2">
      <c r="B244" s="98"/>
      <c r="C244" s="98" t="s">
        <v>16</v>
      </c>
      <c r="D244" s="47">
        <v>36</v>
      </c>
      <c r="E244" s="100">
        <v>18.3</v>
      </c>
      <c r="F244" s="101">
        <f t="shared" si="24"/>
        <v>103.38983050847459</v>
      </c>
      <c r="G244" s="101">
        <f t="shared" si="22"/>
        <v>-3.3898305084745886</v>
      </c>
      <c r="H244" s="102">
        <f t="shared" si="23"/>
        <v>0</v>
      </c>
      <c r="I244" s="103">
        <v>3.5</v>
      </c>
      <c r="J244" s="103">
        <v>1</v>
      </c>
      <c r="K244" s="104">
        <f t="shared" si="25"/>
        <v>1.5</v>
      </c>
    </row>
    <row r="245" spans="1:11" x14ac:dyDescent="0.2">
      <c r="B245" s="98"/>
      <c r="C245" s="98"/>
      <c r="D245" s="47">
        <v>38</v>
      </c>
      <c r="E245" s="100">
        <v>18.100000000000001</v>
      </c>
      <c r="F245" s="101">
        <f t="shared" si="24"/>
        <v>102.25988700564972</v>
      </c>
      <c r="G245" s="101">
        <f t="shared" si="22"/>
        <v>-2.2598870056497162</v>
      </c>
      <c r="H245" s="102">
        <f t="shared" si="23"/>
        <v>0</v>
      </c>
      <c r="I245" s="103">
        <v>3.5</v>
      </c>
      <c r="J245" s="103">
        <v>0</v>
      </c>
      <c r="K245" s="104">
        <f t="shared" si="25"/>
        <v>1.1666666666666667</v>
      </c>
    </row>
    <row r="246" spans="1:11" x14ac:dyDescent="0.2">
      <c r="B246" s="98"/>
      <c r="C246" s="98"/>
      <c r="D246" s="47">
        <v>40</v>
      </c>
      <c r="E246" s="100"/>
      <c r="F246" s="101">
        <f t="shared" ref="F246:F256" si="26">E246/$E$201*100</f>
        <v>0</v>
      </c>
      <c r="G246" s="101">
        <f t="shared" si="22"/>
        <v>100</v>
      </c>
      <c r="H246" s="102">
        <f t="shared" si="23"/>
        <v>4</v>
      </c>
      <c r="I246" s="103"/>
      <c r="J246" s="103"/>
      <c r="K246" s="104">
        <f t="shared" si="25"/>
        <v>4</v>
      </c>
    </row>
    <row r="247" spans="1:11" x14ac:dyDescent="0.2">
      <c r="B247" s="98"/>
      <c r="C247" s="98" t="s">
        <v>15</v>
      </c>
      <c r="D247" s="47">
        <v>43</v>
      </c>
      <c r="E247" s="100"/>
      <c r="F247" s="101">
        <f t="shared" si="26"/>
        <v>0</v>
      </c>
      <c r="G247" s="101">
        <f t="shared" si="22"/>
        <v>100</v>
      </c>
      <c r="H247" s="102">
        <f t="shared" si="23"/>
        <v>4</v>
      </c>
      <c r="I247" s="103"/>
      <c r="J247" s="103"/>
      <c r="K247" s="104">
        <f t="shared" si="25"/>
        <v>4</v>
      </c>
    </row>
    <row r="248" spans="1:11" x14ac:dyDescent="0.2">
      <c r="B248" s="98"/>
      <c r="C248" s="98"/>
      <c r="D248" s="47">
        <v>45</v>
      </c>
      <c r="E248" s="100"/>
      <c r="F248" s="101">
        <f t="shared" si="26"/>
        <v>0</v>
      </c>
      <c r="G248" s="101">
        <f t="shared" si="22"/>
        <v>100</v>
      </c>
      <c r="H248" s="102">
        <f t="shared" si="23"/>
        <v>4</v>
      </c>
      <c r="I248" s="103"/>
      <c r="J248" s="103"/>
      <c r="K248" s="104">
        <f t="shared" si="25"/>
        <v>4</v>
      </c>
    </row>
    <row r="249" spans="1:11" x14ac:dyDescent="0.2">
      <c r="B249" s="98"/>
      <c r="C249" s="98"/>
      <c r="D249" s="60">
        <v>47</v>
      </c>
      <c r="E249" s="100"/>
      <c r="F249" s="101">
        <f t="shared" si="26"/>
        <v>0</v>
      </c>
      <c r="G249" s="101">
        <f t="shared" si="22"/>
        <v>100</v>
      </c>
      <c r="H249" s="102">
        <f t="shared" si="23"/>
        <v>4</v>
      </c>
      <c r="I249" s="103"/>
      <c r="J249" s="103"/>
      <c r="K249" s="104">
        <f t="shared" si="25"/>
        <v>4</v>
      </c>
    </row>
    <row r="250" spans="1:11" x14ac:dyDescent="0.2">
      <c r="B250" s="98"/>
      <c r="C250" s="98" t="s">
        <v>16</v>
      </c>
      <c r="D250" s="60">
        <v>50</v>
      </c>
      <c r="E250" s="274"/>
      <c r="F250" s="101">
        <f t="shared" si="26"/>
        <v>0</v>
      </c>
      <c r="G250" s="101">
        <f t="shared" si="22"/>
        <v>100</v>
      </c>
      <c r="H250" s="102">
        <f t="shared" si="23"/>
        <v>4</v>
      </c>
      <c r="I250" s="103"/>
      <c r="J250" s="103"/>
      <c r="K250" s="104">
        <f t="shared" si="25"/>
        <v>4</v>
      </c>
    </row>
    <row r="251" spans="1:11" x14ac:dyDescent="0.2">
      <c r="B251" s="98"/>
      <c r="C251" s="98"/>
      <c r="D251" s="60">
        <v>52</v>
      </c>
      <c r="E251" s="100"/>
      <c r="F251" s="101">
        <f t="shared" si="26"/>
        <v>0</v>
      </c>
      <c r="G251" s="101">
        <f t="shared" si="22"/>
        <v>100</v>
      </c>
      <c r="H251" s="102">
        <f t="shared" si="23"/>
        <v>4</v>
      </c>
      <c r="I251" s="103"/>
      <c r="J251" s="103"/>
      <c r="K251" s="104">
        <f t="shared" si="25"/>
        <v>4</v>
      </c>
    </row>
    <row r="252" spans="1:11" x14ac:dyDescent="0.2">
      <c r="B252" s="98"/>
      <c r="C252" s="98"/>
      <c r="D252" s="60">
        <v>54</v>
      </c>
      <c r="E252" s="274"/>
      <c r="F252" s="101">
        <f t="shared" si="26"/>
        <v>0</v>
      </c>
      <c r="G252" s="101">
        <f t="shared" si="22"/>
        <v>100</v>
      </c>
      <c r="H252" s="102">
        <f t="shared" si="23"/>
        <v>4</v>
      </c>
      <c r="I252" s="103"/>
      <c r="J252" s="103"/>
      <c r="K252" s="104">
        <f t="shared" si="25"/>
        <v>4</v>
      </c>
    </row>
    <row r="253" spans="1:11" x14ac:dyDescent="0.2">
      <c r="B253" s="98"/>
      <c r="C253" s="98" t="s">
        <v>15</v>
      </c>
      <c r="D253" s="60">
        <v>57</v>
      </c>
      <c r="E253" s="100"/>
      <c r="F253" s="101">
        <f t="shared" si="26"/>
        <v>0</v>
      </c>
      <c r="G253" s="101">
        <f t="shared" si="22"/>
        <v>100</v>
      </c>
      <c r="H253" s="102">
        <f t="shared" si="23"/>
        <v>4</v>
      </c>
      <c r="I253" s="103"/>
      <c r="J253" s="103"/>
      <c r="K253" s="104">
        <f t="shared" si="25"/>
        <v>4</v>
      </c>
    </row>
    <row r="254" spans="1:11" x14ac:dyDescent="0.2">
      <c r="B254" s="98"/>
      <c r="C254" s="98"/>
      <c r="D254" s="60">
        <v>59</v>
      </c>
      <c r="E254" s="100"/>
      <c r="F254" s="101">
        <f t="shared" si="26"/>
        <v>0</v>
      </c>
      <c r="G254" s="101">
        <f t="shared" si="22"/>
        <v>100</v>
      </c>
      <c r="H254" s="102">
        <f t="shared" si="23"/>
        <v>4</v>
      </c>
      <c r="I254" s="103"/>
      <c r="J254" s="103"/>
      <c r="K254" s="104">
        <f t="shared" si="25"/>
        <v>4</v>
      </c>
    </row>
    <row r="255" spans="1:11" x14ac:dyDescent="0.2">
      <c r="B255" s="334"/>
      <c r="C255" s="334"/>
      <c r="D255" s="60">
        <v>61</v>
      </c>
      <c r="E255" s="335"/>
      <c r="F255" s="336">
        <f t="shared" si="26"/>
        <v>0</v>
      </c>
      <c r="G255" s="336">
        <f t="shared" si="22"/>
        <v>100</v>
      </c>
      <c r="H255" s="337">
        <f t="shared" si="23"/>
        <v>4</v>
      </c>
      <c r="I255" s="338"/>
      <c r="J255" s="338"/>
      <c r="K255" s="339">
        <f t="shared" si="25"/>
        <v>4</v>
      </c>
    </row>
    <row r="256" spans="1:11" ht="17" thickBot="1" x14ac:dyDescent="0.25">
      <c r="B256" s="278"/>
      <c r="C256" s="278"/>
      <c r="D256" s="279">
        <v>64</v>
      </c>
      <c r="E256" s="381"/>
      <c r="F256" s="281">
        <f t="shared" si="26"/>
        <v>0</v>
      </c>
      <c r="G256" s="281">
        <f t="shared" si="22"/>
        <v>100</v>
      </c>
      <c r="H256" s="282">
        <f t="shared" si="23"/>
        <v>4</v>
      </c>
      <c r="I256" s="283"/>
      <c r="J256" s="283"/>
      <c r="K256" s="284">
        <f t="shared" si="25"/>
        <v>4</v>
      </c>
    </row>
    <row r="257" spans="1:11" x14ac:dyDescent="0.2">
      <c r="A257" s="333" t="s">
        <v>23</v>
      </c>
      <c r="B257" s="73" t="s">
        <v>18</v>
      </c>
      <c r="C257" s="73" t="s">
        <v>21</v>
      </c>
      <c r="D257" s="380">
        <v>1</v>
      </c>
      <c r="E257" s="95">
        <v>20.3</v>
      </c>
      <c r="F257" s="96">
        <v>100</v>
      </c>
      <c r="G257" s="96">
        <f t="shared" si="22"/>
        <v>0</v>
      </c>
      <c r="H257" s="97">
        <f t="shared" si="23"/>
        <v>0</v>
      </c>
      <c r="I257" s="93">
        <v>0</v>
      </c>
      <c r="J257" s="93">
        <v>0</v>
      </c>
      <c r="K257" s="378">
        <f t="shared" si="25"/>
        <v>0</v>
      </c>
    </row>
    <row r="258" spans="1:11" x14ac:dyDescent="0.2">
      <c r="B258" s="98"/>
      <c r="C258" s="98"/>
      <c r="D258" s="47">
        <v>3</v>
      </c>
      <c r="E258" s="100">
        <v>18.100000000000001</v>
      </c>
      <c r="F258" s="101">
        <f t="shared" ref="F258:F270" si="27">E258/$E$257*100</f>
        <v>89.162561576354676</v>
      </c>
      <c r="G258" s="101">
        <f t="shared" si="22"/>
        <v>10.837438423645324</v>
      </c>
      <c r="H258" s="102">
        <f t="shared" si="23"/>
        <v>3</v>
      </c>
      <c r="I258" s="103">
        <v>1</v>
      </c>
      <c r="J258" s="103">
        <v>0</v>
      </c>
      <c r="K258" s="44">
        <f t="shared" si="25"/>
        <v>1.3333333333333333</v>
      </c>
    </row>
    <row r="259" spans="1:11" x14ac:dyDescent="0.2">
      <c r="B259" s="98"/>
      <c r="C259" s="98"/>
      <c r="D259" s="47">
        <v>5</v>
      </c>
      <c r="E259" s="100">
        <v>19.8</v>
      </c>
      <c r="F259" s="101">
        <f t="shared" si="27"/>
        <v>97.536945812807886</v>
      </c>
      <c r="G259" s="101">
        <f t="shared" si="22"/>
        <v>2.4630541871921139</v>
      </c>
      <c r="H259" s="102">
        <f t="shared" si="23"/>
        <v>1</v>
      </c>
      <c r="I259" s="103">
        <v>2</v>
      </c>
      <c r="J259" s="103">
        <v>0</v>
      </c>
      <c r="K259" s="44">
        <f t="shared" si="25"/>
        <v>1</v>
      </c>
    </row>
    <row r="260" spans="1:11" x14ac:dyDescent="0.2">
      <c r="B260" s="98"/>
      <c r="C260" s="98"/>
      <c r="D260" s="47">
        <v>8</v>
      </c>
      <c r="E260" s="100">
        <v>20.8</v>
      </c>
      <c r="F260" s="101">
        <f t="shared" si="27"/>
        <v>102.46305418719213</v>
      </c>
      <c r="G260" s="101">
        <f t="shared" si="22"/>
        <v>-2.4630541871921281</v>
      </c>
      <c r="H260" s="102">
        <f t="shared" si="23"/>
        <v>0</v>
      </c>
      <c r="I260" s="103">
        <v>2</v>
      </c>
      <c r="J260" s="103">
        <v>0</v>
      </c>
      <c r="K260" s="44">
        <f t="shared" si="25"/>
        <v>0.66666666666666663</v>
      </c>
    </row>
    <row r="261" spans="1:11" x14ac:dyDescent="0.2">
      <c r="B261" s="98"/>
      <c r="C261" s="98"/>
      <c r="D261" s="47">
        <v>10</v>
      </c>
      <c r="E261" s="100">
        <v>22.6</v>
      </c>
      <c r="F261" s="101">
        <f t="shared" si="27"/>
        <v>111.33004926108374</v>
      </c>
      <c r="G261" s="101">
        <f t="shared" si="22"/>
        <v>-11.330049261083744</v>
      </c>
      <c r="H261" s="102">
        <f t="shared" si="23"/>
        <v>0</v>
      </c>
      <c r="I261" s="103">
        <v>3.5</v>
      </c>
      <c r="J261" s="103">
        <v>0</v>
      </c>
      <c r="K261" s="44">
        <f t="shared" si="25"/>
        <v>1.1666666666666667</v>
      </c>
    </row>
    <row r="262" spans="1:11" x14ac:dyDescent="0.2">
      <c r="B262" s="98"/>
      <c r="C262" s="98"/>
      <c r="D262" s="47">
        <v>12</v>
      </c>
      <c r="E262" s="100">
        <v>21.9</v>
      </c>
      <c r="F262" s="101">
        <f t="shared" si="27"/>
        <v>107.88177339901478</v>
      </c>
      <c r="G262" s="101">
        <f t="shared" si="22"/>
        <v>-7.8817733990147758</v>
      </c>
      <c r="H262" s="102">
        <f t="shared" si="23"/>
        <v>0</v>
      </c>
      <c r="I262" s="103">
        <v>2.5</v>
      </c>
      <c r="J262" s="103">
        <v>0</v>
      </c>
      <c r="K262" s="44">
        <f t="shared" si="25"/>
        <v>0.83333333333333337</v>
      </c>
    </row>
    <row r="263" spans="1:11" x14ac:dyDescent="0.2">
      <c r="B263" s="98"/>
      <c r="C263" s="105" t="s">
        <v>4</v>
      </c>
      <c r="D263" s="54">
        <v>15</v>
      </c>
      <c r="E263" s="100">
        <v>22.6</v>
      </c>
      <c r="F263" s="101">
        <f t="shared" si="27"/>
        <v>111.33004926108374</v>
      </c>
      <c r="G263" s="101">
        <f t="shared" si="22"/>
        <v>-11.330049261083744</v>
      </c>
      <c r="H263" s="102">
        <f t="shared" si="23"/>
        <v>0</v>
      </c>
      <c r="I263" s="103">
        <v>2.5</v>
      </c>
      <c r="J263" s="103">
        <v>0</v>
      </c>
      <c r="K263" s="44">
        <f t="shared" si="25"/>
        <v>0.83333333333333337</v>
      </c>
    </row>
    <row r="264" spans="1:11" x14ac:dyDescent="0.2">
      <c r="B264" s="98"/>
      <c r="C264" s="98" t="s">
        <v>3</v>
      </c>
      <c r="D264" s="47">
        <v>17</v>
      </c>
      <c r="E264" s="100">
        <v>22.3</v>
      </c>
      <c r="F264" s="101">
        <f t="shared" si="27"/>
        <v>109.85221674876848</v>
      </c>
      <c r="G264" s="101">
        <f t="shared" si="22"/>
        <v>-9.852216748768484</v>
      </c>
      <c r="H264" s="102">
        <f t="shared" si="23"/>
        <v>0</v>
      </c>
      <c r="I264" s="103">
        <v>1.5</v>
      </c>
      <c r="J264" s="103">
        <v>0</v>
      </c>
      <c r="K264" s="104">
        <f t="shared" si="25"/>
        <v>0.5</v>
      </c>
    </row>
    <row r="265" spans="1:11" x14ac:dyDescent="0.2">
      <c r="B265" s="98"/>
      <c r="C265" s="98"/>
      <c r="D265" s="47">
        <v>19</v>
      </c>
      <c r="E265" s="100">
        <v>22.8</v>
      </c>
      <c r="F265" s="101">
        <f t="shared" si="27"/>
        <v>112.31527093596058</v>
      </c>
      <c r="G265" s="101">
        <f t="shared" si="22"/>
        <v>-12.315270935960584</v>
      </c>
      <c r="H265" s="102">
        <f t="shared" si="23"/>
        <v>0</v>
      </c>
      <c r="I265" s="103">
        <v>1.5</v>
      </c>
      <c r="J265" s="103">
        <v>0</v>
      </c>
      <c r="K265" s="104">
        <f t="shared" si="25"/>
        <v>0.5</v>
      </c>
    </row>
    <row r="266" spans="1:11" x14ac:dyDescent="0.2">
      <c r="A266" s="7"/>
      <c r="B266" s="98"/>
      <c r="C266" s="98"/>
      <c r="D266" s="47">
        <v>22</v>
      </c>
      <c r="E266" s="100">
        <v>22.3</v>
      </c>
      <c r="F266" s="101">
        <f t="shared" si="27"/>
        <v>109.85221674876848</v>
      </c>
      <c r="G266" s="101">
        <f t="shared" si="22"/>
        <v>-9.852216748768484</v>
      </c>
      <c r="H266" s="102">
        <f t="shared" si="23"/>
        <v>0</v>
      </c>
      <c r="I266" s="103">
        <v>1</v>
      </c>
      <c r="J266" s="103">
        <v>0</v>
      </c>
      <c r="K266" s="104">
        <f t="shared" si="25"/>
        <v>0.33333333333333331</v>
      </c>
    </row>
    <row r="267" spans="1:11" x14ac:dyDescent="0.2">
      <c r="A267" s="7"/>
      <c r="B267" s="98"/>
      <c r="C267" s="98"/>
      <c r="D267" s="47">
        <v>24</v>
      </c>
      <c r="E267" s="100">
        <v>22.8</v>
      </c>
      <c r="F267" s="101">
        <f t="shared" si="27"/>
        <v>112.31527093596058</v>
      </c>
      <c r="G267" s="101">
        <f t="shared" si="22"/>
        <v>-12.315270935960584</v>
      </c>
      <c r="H267" s="102">
        <f t="shared" si="23"/>
        <v>0</v>
      </c>
      <c r="I267" s="103">
        <v>2</v>
      </c>
      <c r="J267" s="103">
        <v>0</v>
      </c>
      <c r="K267" s="104">
        <f t="shared" si="25"/>
        <v>0.66666666666666663</v>
      </c>
    </row>
    <row r="268" spans="1:11" x14ac:dyDescent="0.2">
      <c r="A268" s="7"/>
      <c r="B268" s="98"/>
      <c r="C268" s="98"/>
      <c r="D268" s="60">
        <v>26</v>
      </c>
      <c r="E268" s="100">
        <v>22.8</v>
      </c>
      <c r="F268" s="101">
        <f t="shared" si="27"/>
        <v>112.31527093596058</v>
      </c>
      <c r="G268" s="101">
        <f t="shared" si="22"/>
        <v>-12.315270935960584</v>
      </c>
      <c r="H268" s="102">
        <f t="shared" si="23"/>
        <v>0</v>
      </c>
      <c r="I268" s="103">
        <v>2.5</v>
      </c>
      <c r="J268" s="103">
        <v>1</v>
      </c>
      <c r="K268" s="104">
        <f t="shared" si="25"/>
        <v>1.1666666666666667</v>
      </c>
    </row>
    <row r="269" spans="1:11" x14ac:dyDescent="0.2">
      <c r="A269" s="7"/>
      <c r="B269" s="98"/>
      <c r="C269" s="98"/>
      <c r="D269" s="60">
        <v>29</v>
      </c>
      <c r="E269" s="100">
        <v>19.600000000000001</v>
      </c>
      <c r="F269" s="101">
        <f t="shared" si="27"/>
        <v>96.551724137931032</v>
      </c>
      <c r="G269" s="101">
        <f t="shared" si="22"/>
        <v>3.448275862068968</v>
      </c>
      <c r="H269" s="102">
        <f t="shared" si="23"/>
        <v>1</v>
      </c>
      <c r="I269" s="103">
        <v>3.5</v>
      </c>
      <c r="J269" s="103">
        <v>2</v>
      </c>
      <c r="K269" s="104">
        <f t="shared" si="25"/>
        <v>2.1666666666666665</v>
      </c>
    </row>
    <row r="270" spans="1:11" x14ac:dyDescent="0.2">
      <c r="A270" s="7"/>
      <c r="B270" s="98"/>
      <c r="C270" s="98" t="s">
        <v>15</v>
      </c>
      <c r="D270" s="41">
        <v>31</v>
      </c>
      <c r="E270" s="100">
        <v>18.2</v>
      </c>
      <c r="F270" s="101">
        <f t="shared" si="27"/>
        <v>89.655172413793096</v>
      </c>
      <c r="G270" s="101">
        <f t="shared" si="22"/>
        <v>10.344827586206904</v>
      </c>
      <c r="H270" s="102">
        <f t="shared" si="23"/>
        <v>3</v>
      </c>
      <c r="I270" s="103">
        <v>1.5</v>
      </c>
      <c r="J270" s="103">
        <v>0</v>
      </c>
      <c r="K270" s="104">
        <f t="shared" si="25"/>
        <v>1.5</v>
      </c>
    </row>
    <row r="271" spans="1:11" x14ac:dyDescent="0.2">
      <c r="B271" s="98"/>
      <c r="C271" s="98"/>
      <c r="D271" s="47">
        <v>33</v>
      </c>
      <c r="E271" s="100"/>
      <c r="F271" s="101">
        <f t="shared" ref="F271:F284" si="28">E271/$E$201*100</f>
        <v>0</v>
      </c>
      <c r="G271" s="101">
        <f t="shared" si="22"/>
        <v>100</v>
      </c>
      <c r="H271" s="102">
        <f t="shared" si="23"/>
        <v>4</v>
      </c>
      <c r="I271" s="103"/>
      <c r="J271" s="103"/>
      <c r="K271" s="104">
        <f t="shared" si="25"/>
        <v>4</v>
      </c>
    </row>
    <row r="272" spans="1:11" x14ac:dyDescent="0.2">
      <c r="B272" s="98"/>
      <c r="C272" s="98" t="s">
        <v>16</v>
      </c>
      <c r="D272" s="47">
        <v>36</v>
      </c>
      <c r="E272" s="100"/>
      <c r="F272" s="101">
        <f t="shared" si="28"/>
        <v>0</v>
      </c>
      <c r="G272" s="101">
        <f t="shared" si="22"/>
        <v>100</v>
      </c>
      <c r="H272" s="102">
        <f t="shared" si="23"/>
        <v>4</v>
      </c>
      <c r="I272" s="103"/>
      <c r="J272" s="103"/>
      <c r="K272" s="104">
        <f t="shared" si="25"/>
        <v>4</v>
      </c>
    </row>
    <row r="273" spans="2:11" x14ac:dyDescent="0.2">
      <c r="B273" s="98"/>
      <c r="C273" s="98"/>
      <c r="D273" s="47">
        <v>38</v>
      </c>
      <c r="E273" s="100"/>
      <c r="F273" s="101">
        <f t="shared" si="28"/>
        <v>0</v>
      </c>
      <c r="G273" s="101">
        <f t="shared" si="22"/>
        <v>100</v>
      </c>
      <c r="H273" s="102">
        <f t="shared" si="23"/>
        <v>4</v>
      </c>
      <c r="I273" s="103"/>
      <c r="J273" s="103"/>
      <c r="K273" s="104">
        <f t="shared" si="25"/>
        <v>4</v>
      </c>
    </row>
    <row r="274" spans="2:11" x14ac:dyDescent="0.2">
      <c r="B274" s="98"/>
      <c r="C274" s="98"/>
      <c r="D274" s="47">
        <v>40</v>
      </c>
      <c r="E274" s="100"/>
      <c r="F274" s="101">
        <f t="shared" si="28"/>
        <v>0</v>
      </c>
      <c r="G274" s="101">
        <f t="shared" si="22"/>
        <v>100</v>
      </c>
      <c r="H274" s="102">
        <f t="shared" si="23"/>
        <v>4</v>
      </c>
      <c r="I274" s="103"/>
      <c r="J274" s="103"/>
      <c r="K274" s="104">
        <f t="shared" si="25"/>
        <v>4</v>
      </c>
    </row>
    <row r="275" spans="2:11" x14ac:dyDescent="0.2">
      <c r="B275" s="98"/>
      <c r="C275" s="98" t="s">
        <v>15</v>
      </c>
      <c r="D275" s="47">
        <v>43</v>
      </c>
      <c r="E275" s="100"/>
      <c r="F275" s="101">
        <f t="shared" si="28"/>
        <v>0</v>
      </c>
      <c r="G275" s="101">
        <f t="shared" si="22"/>
        <v>100</v>
      </c>
      <c r="H275" s="102">
        <f t="shared" si="23"/>
        <v>4</v>
      </c>
      <c r="I275" s="103"/>
      <c r="J275" s="103"/>
      <c r="K275" s="104">
        <f t="shared" si="25"/>
        <v>4</v>
      </c>
    </row>
    <row r="276" spans="2:11" x14ac:dyDescent="0.2">
      <c r="B276" s="98"/>
      <c r="C276" s="98"/>
      <c r="D276" s="47">
        <v>45</v>
      </c>
      <c r="E276" s="100"/>
      <c r="F276" s="101">
        <f t="shared" si="28"/>
        <v>0</v>
      </c>
      <c r="G276" s="101">
        <f t="shared" si="22"/>
        <v>100</v>
      </c>
      <c r="H276" s="102">
        <f t="shared" si="23"/>
        <v>4</v>
      </c>
      <c r="I276" s="103"/>
      <c r="J276" s="103"/>
      <c r="K276" s="104">
        <f t="shared" si="25"/>
        <v>4</v>
      </c>
    </row>
    <row r="277" spans="2:11" x14ac:dyDescent="0.2">
      <c r="B277" s="98"/>
      <c r="C277" s="98"/>
      <c r="D277" s="60">
        <v>47</v>
      </c>
      <c r="E277" s="100"/>
      <c r="F277" s="101">
        <f t="shared" si="28"/>
        <v>0</v>
      </c>
      <c r="G277" s="101">
        <f t="shared" si="22"/>
        <v>100</v>
      </c>
      <c r="H277" s="102">
        <f t="shared" si="23"/>
        <v>4</v>
      </c>
      <c r="I277" s="103"/>
      <c r="J277" s="103"/>
      <c r="K277" s="104">
        <f t="shared" si="25"/>
        <v>4</v>
      </c>
    </row>
    <row r="278" spans="2:11" x14ac:dyDescent="0.2">
      <c r="B278" s="98"/>
      <c r="C278" s="98" t="s">
        <v>16</v>
      </c>
      <c r="D278" s="60">
        <v>50</v>
      </c>
      <c r="E278" s="274"/>
      <c r="F278" s="101">
        <f t="shared" si="28"/>
        <v>0</v>
      </c>
      <c r="G278" s="101">
        <f t="shared" si="22"/>
        <v>100</v>
      </c>
      <c r="H278" s="102">
        <f t="shared" si="23"/>
        <v>4</v>
      </c>
      <c r="I278" s="103"/>
      <c r="J278" s="103"/>
      <c r="K278" s="104">
        <f t="shared" si="25"/>
        <v>4</v>
      </c>
    </row>
    <row r="279" spans="2:11" x14ac:dyDescent="0.2">
      <c r="B279" s="98"/>
      <c r="C279" s="98"/>
      <c r="D279" s="60">
        <v>52</v>
      </c>
      <c r="E279" s="100"/>
      <c r="F279" s="101">
        <f t="shared" si="28"/>
        <v>0</v>
      </c>
      <c r="G279" s="101">
        <f t="shared" si="22"/>
        <v>100</v>
      </c>
      <c r="H279" s="102">
        <f t="shared" si="23"/>
        <v>4</v>
      </c>
      <c r="I279" s="103"/>
      <c r="J279" s="103"/>
      <c r="K279" s="104">
        <f t="shared" si="25"/>
        <v>4</v>
      </c>
    </row>
    <row r="280" spans="2:11" x14ac:dyDescent="0.2">
      <c r="B280" s="98"/>
      <c r="C280" s="98"/>
      <c r="D280" s="60">
        <v>54</v>
      </c>
      <c r="E280" s="274"/>
      <c r="F280" s="101">
        <f t="shared" si="28"/>
        <v>0</v>
      </c>
      <c r="G280" s="101">
        <f t="shared" si="22"/>
        <v>100</v>
      </c>
      <c r="H280" s="102">
        <f t="shared" si="23"/>
        <v>4</v>
      </c>
      <c r="I280" s="103"/>
      <c r="J280" s="103"/>
      <c r="K280" s="104">
        <f t="shared" si="25"/>
        <v>4</v>
      </c>
    </row>
    <row r="281" spans="2:11" x14ac:dyDescent="0.2">
      <c r="B281" s="98"/>
      <c r="C281" s="98" t="s">
        <v>15</v>
      </c>
      <c r="D281" s="60">
        <v>57</v>
      </c>
      <c r="E281" s="100"/>
      <c r="F281" s="101">
        <f t="shared" si="28"/>
        <v>0</v>
      </c>
      <c r="G281" s="101">
        <f t="shared" si="22"/>
        <v>100</v>
      </c>
      <c r="H281" s="102">
        <f t="shared" si="23"/>
        <v>4</v>
      </c>
      <c r="I281" s="103"/>
      <c r="J281" s="103"/>
      <c r="K281" s="104">
        <f t="shared" si="25"/>
        <v>4</v>
      </c>
    </row>
    <row r="282" spans="2:11" x14ac:dyDescent="0.2">
      <c r="B282" s="98"/>
      <c r="C282" s="98"/>
      <c r="D282" s="60">
        <v>59</v>
      </c>
      <c r="E282" s="100"/>
      <c r="F282" s="101">
        <f t="shared" si="28"/>
        <v>0</v>
      </c>
      <c r="G282" s="101">
        <f t="shared" si="22"/>
        <v>100</v>
      </c>
      <c r="H282" s="102">
        <f t="shared" si="23"/>
        <v>4</v>
      </c>
      <c r="I282" s="103"/>
      <c r="J282" s="103"/>
      <c r="K282" s="104">
        <f t="shared" si="25"/>
        <v>4</v>
      </c>
    </row>
    <row r="283" spans="2:11" x14ac:dyDescent="0.2">
      <c r="B283" s="334"/>
      <c r="C283" s="334"/>
      <c r="D283" s="60">
        <v>61</v>
      </c>
      <c r="E283" s="335"/>
      <c r="F283" s="336">
        <f t="shared" si="28"/>
        <v>0</v>
      </c>
      <c r="G283" s="336">
        <f t="shared" si="22"/>
        <v>100</v>
      </c>
      <c r="H283" s="337">
        <f t="shared" si="23"/>
        <v>4</v>
      </c>
      <c r="I283" s="338"/>
      <c r="J283" s="338"/>
      <c r="K283" s="339">
        <f t="shared" si="25"/>
        <v>4</v>
      </c>
    </row>
    <row r="284" spans="2:11" x14ac:dyDescent="0.2">
      <c r="B284" s="98"/>
      <c r="C284" s="98"/>
      <c r="D284" s="99">
        <v>64</v>
      </c>
      <c r="E284" s="274"/>
      <c r="F284" s="101">
        <f t="shared" si="28"/>
        <v>0</v>
      </c>
      <c r="G284" s="101">
        <f t="shared" si="22"/>
        <v>100</v>
      </c>
      <c r="H284" s="102">
        <f t="shared" si="23"/>
        <v>4</v>
      </c>
      <c r="I284" s="103"/>
      <c r="J284" s="103"/>
      <c r="K284" s="104">
        <f t="shared" si="25"/>
        <v>4</v>
      </c>
    </row>
    <row r="290" spans="1:11" x14ac:dyDescent="0.2">
      <c r="A290" s="8" t="s">
        <v>24</v>
      </c>
      <c r="B290" s="107" t="s">
        <v>0</v>
      </c>
      <c r="C290" s="107" t="s">
        <v>21</v>
      </c>
      <c r="D290" s="340">
        <v>1</v>
      </c>
      <c r="E290" s="341">
        <v>19.100000000000001</v>
      </c>
      <c r="F290" s="342">
        <v>100</v>
      </c>
      <c r="G290" s="110">
        <f t="shared" ref="G290:G305" si="29">100-F290</f>
        <v>0</v>
      </c>
      <c r="H290" s="111">
        <f t="shared" ref="H290:H303" si="30">IF(G290&lt;=1, 0, IF(AND(G290&gt;1, G290&lt;=5), 1, IF(AND(G290&gt;5, G290&lt;=10), 2, IF(AND(G290&gt;10, G290&lt;=15), 3, 4))))</f>
        <v>0</v>
      </c>
      <c r="I290" s="112">
        <v>0</v>
      </c>
      <c r="J290" s="112">
        <v>0</v>
      </c>
      <c r="K290" s="111">
        <f t="shared" ref="K290:K310" si="31">AVERAGE(H290:J290)</f>
        <v>0</v>
      </c>
    </row>
    <row r="291" spans="1:11" x14ac:dyDescent="0.2">
      <c r="B291" s="113"/>
      <c r="C291" s="113"/>
      <c r="D291" s="114">
        <v>3</v>
      </c>
      <c r="E291" s="343">
        <v>18.5</v>
      </c>
      <c r="F291" s="116">
        <f t="shared" ref="F291:F310" si="32">E291/$E$290*100</f>
        <v>96.858638743455501</v>
      </c>
      <c r="G291" s="116">
        <f t="shared" si="29"/>
        <v>3.1413612565444993</v>
      </c>
      <c r="H291" s="117">
        <f t="shared" si="30"/>
        <v>1</v>
      </c>
      <c r="I291" s="118">
        <v>2</v>
      </c>
      <c r="J291" s="112">
        <v>0</v>
      </c>
      <c r="K291" s="117">
        <f t="shared" si="31"/>
        <v>1</v>
      </c>
    </row>
    <row r="292" spans="1:11" x14ac:dyDescent="0.2">
      <c r="B292" s="113"/>
      <c r="C292" s="113"/>
      <c r="D292" s="114">
        <v>5</v>
      </c>
      <c r="E292" s="115">
        <v>20.399999999999999</v>
      </c>
      <c r="F292" s="116">
        <f t="shared" si="32"/>
        <v>106.80628272251307</v>
      </c>
      <c r="G292" s="116">
        <f t="shared" si="29"/>
        <v>-6.8062827225130746</v>
      </c>
      <c r="H292" s="117">
        <f t="shared" si="30"/>
        <v>0</v>
      </c>
      <c r="I292" s="118">
        <v>2</v>
      </c>
      <c r="J292" s="112">
        <v>0</v>
      </c>
      <c r="K292" s="117">
        <f t="shared" si="31"/>
        <v>0.66666666666666663</v>
      </c>
    </row>
    <row r="293" spans="1:11" x14ac:dyDescent="0.2">
      <c r="B293" s="113"/>
      <c r="C293" s="113"/>
      <c r="D293" s="114">
        <v>8</v>
      </c>
      <c r="E293" s="119">
        <v>20.5</v>
      </c>
      <c r="F293" s="116">
        <f t="shared" si="32"/>
        <v>107.32984293193716</v>
      </c>
      <c r="G293" s="116">
        <f t="shared" si="29"/>
        <v>-7.329842931937165</v>
      </c>
      <c r="H293" s="117">
        <f t="shared" si="30"/>
        <v>0</v>
      </c>
      <c r="I293" s="118">
        <v>2.5</v>
      </c>
      <c r="J293" s="112">
        <v>0</v>
      </c>
      <c r="K293" s="117">
        <f t="shared" si="31"/>
        <v>0.83333333333333337</v>
      </c>
    </row>
    <row r="294" spans="1:11" x14ac:dyDescent="0.2">
      <c r="B294" s="113"/>
      <c r="C294" s="113"/>
      <c r="D294" s="114">
        <v>10</v>
      </c>
      <c r="E294" s="119">
        <v>20.399999999999999</v>
      </c>
      <c r="F294" s="116">
        <f t="shared" si="32"/>
        <v>106.80628272251307</v>
      </c>
      <c r="G294" s="116">
        <f t="shared" si="29"/>
        <v>-6.8062827225130746</v>
      </c>
      <c r="H294" s="117">
        <f t="shared" si="30"/>
        <v>0</v>
      </c>
      <c r="I294" s="118">
        <v>2.5</v>
      </c>
      <c r="J294" s="112">
        <v>0</v>
      </c>
      <c r="K294" s="117">
        <f t="shared" si="31"/>
        <v>0.83333333333333337</v>
      </c>
    </row>
    <row r="295" spans="1:11" x14ac:dyDescent="0.2">
      <c r="B295" s="113"/>
      <c r="C295" s="113"/>
      <c r="D295" s="114">
        <v>12</v>
      </c>
      <c r="E295" s="119">
        <v>19.899999999999999</v>
      </c>
      <c r="F295" s="116">
        <f t="shared" si="32"/>
        <v>104.18848167539265</v>
      </c>
      <c r="G295" s="116">
        <f t="shared" si="29"/>
        <v>-4.1884816753926515</v>
      </c>
      <c r="H295" s="117">
        <f t="shared" si="30"/>
        <v>0</v>
      </c>
      <c r="I295" s="118">
        <v>1</v>
      </c>
      <c r="J295" s="112">
        <v>0</v>
      </c>
      <c r="K295" s="117">
        <f t="shared" si="31"/>
        <v>0.33333333333333331</v>
      </c>
    </row>
    <row r="296" spans="1:11" x14ac:dyDescent="0.2">
      <c r="B296" s="120"/>
      <c r="C296" s="120" t="s">
        <v>4</v>
      </c>
      <c r="D296" s="121">
        <v>15</v>
      </c>
      <c r="E296" s="119">
        <v>20.9</v>
      </c>
      <c r="F296" s="116">
        <f t="shared" si="32"/>
        <v>109.42408376963348</v>
      </c>
      <c r="G296" s="122">
        <f t="shared" si="29"/>
        <v>-9.4240837696334836</v>
      </c>
      <c r="H296" s="123">
        <f t="shared" si="30"/>
        <v>0</v>
      </c>
      <c r="I296" s="124">
        <v>2</v>
      </c>
      <c r="J296" s="112">
        <v>0</v>
      </c>
      <c r="K296" s="117">
        <f t="shared" si="31"/>
        <v>0.66666666666666663</v>
      </c>
    </row>
    <row r="297" spans="1:11" x14ac:dyDescent="0.2">
      <c r="B297" s="113"/>
      <c r="C297" s="113" t="s">
        <v>3</v>
      </c>
      <c r="D297" s="114">
        <v>17</v>
      </c>
      <c r="E297" s="125">
        <v>20.5</v>
      </c>
      <c r="F297" s="116">
        <f t="shared" si="32"/>
        <v>107.32984293193716</v>
      </c>
      <c r="G297" s="116">
        <f t="shared" si="29"/>
        <v>-7.329842931937165</v>
      </c>
      <c r="H297" s="117">
        <f t="shared" si="30"/>
        <v>0</v>
      </c>
      <c r="I297" s="118">
        <v>3.5</v>
      </c>
      <c r="J297" s="112">
        <v>0</v>
      </c>
      <c r="K297" s="126">
        <f t="shared" si="31"/>
        <v>1.1666666666666667</v>
      </c>
    </row>
    <row r="298" spans="1:11" x14ac:dyDescent="0.2">
      <c r="B298" s="113"/>
      <c r="C298" s="113"/>
      <c r="D298" s="114">
        <v>19</v>
      </c>
      <c r="E298" s="125">
        <v>20.8</v>
      </c>
      <c r="F298" s="116">
        <f t="shared" si="32"/>
        <v>108.90052356020942</v>
      </c>
      <c r="G298" s="116">
        <f t="shared" si="29"/>
        <v>-8.9005235602094217</v>
      </c>
      <c r="H298" s="117">
        <f t="shared" si="30"/>
        <v>0</v>
      </c>
      <c r="I298" s="118">
        <v>3.5</v>
      </c>
      <c r="J298" s="112">
        <v>0</v>
      </c>
      <c r="K298" s="126">
        <f t="shared" si="31"/>
        <v>1.1666666666666667</v>
      </c>
    </row>
    <row r="299" spans="1:11" x14ac:dyDescent="0.2">
      <c r="B299" s="113"/>
      <c r="C299" s="113"/>
      <c r="D299" s="114">
        <v>22</v>
      </c>
      <c r="E299" s="125">
        <v>20.6</v>
      </c>
      <c r="F299" s="116">
        <f t="shared" si="32"/>
        <v>107.85340314136124</v>
      </c>
      <c r="G299" s="116">
        <f t="shared" si="29"/>
        <v>-7.8534031413612411</v>
      </c>
      <c r="H299" s="117">
        <f t="shared" si="30"/>
        <v>0</v>
      </c>
      <c r="I299" s="118">
        <v>0.5</v>
      </c>
      <c r="J299" s="112">
        <v>0</v>
      </c>
      <c r="K299" s="127">
        <f t="shared" si="31"/>
        <v>0.16666666666666666</v>
      </c>
    </row>
    <row r="300" spans="1:11" x14ac:dyDescent="0.2">
      <c r="B300" s="113"/>
      <c r="C300" s="113"/>
      <c r="D300" s="114">
        <v>24</v>
      </c>
      <c r="E300" s="262">
        <v>21</v>
      </c>
      <c r="F300" s="116">
        <f t="shared" si="32"/>
        <v>109.94764397905759</v>
      </c>
      <c r="G300" s="116">
        <f t="shared" si="29"/>
        <v>-9.9476439790575881</v>
      </c>
      <c r="H300" s="117">
        <f t="shared" si="30"/>
        <v>0</v>
      </c>
      <c r="I300" s="118">
        <v>2</v>
      </c>
      <c r="J300" s="112">
        <v>0</v>
      </c>
      <c r="K300" s="127">
        <f t="shared" si="31"/>
        <v>0.66666666666666663</v>
      </c>
    </row>
    <row r="301" spans="1:11" x14ac:dyDescent="0.2">
      <c r="B301" s="128"/>
      <c r="C301" s="128"/>
      <c r="D301" s="129">
        <v>26</v>
      </c>
      <c r="E301" s="130">
        <v>20.8</v>
      </c>
      <c r="F301" s="116">
        <f t="shared" si="32"/>
        <v>108.90052356020942</v>
      </c>
      <c r="G301" s="131">
        <f t="shared" si="29"/>
        <v>-8.9005235602094217</v>
      </c>
      <c r="H301" s="132">
        <f t="shared" si="30"/>
        <v>0</v>
      </c>
      <c r="I301" s="133">
        <v>1</v>
      </c>
      <c r="J301" s="112">
        <v>0</v>
      </c>
      <c r="K301" s="127">
        <f t="shared" si="31"/>
        <v>0.33333333333333331</v>
      </c>
    </row>
    <row r="302" spans="1:11" x14ac:dyDescent="0.2">
      <c r="B302" s="128"/>
      <c r="C302" s="128"/>
      <c r="D302" s="129">
        <v>29</v>
      </c>
      <c r="E302" s="130">
        <v>21.8</v>
      </c>
      <c r="F302" s="116">
        <f t="shared" si="32"/>
        <v>114.13612565445025</v>
      </c>
      <c r="G302" s="131">
        <f t="shared" si="29"/>
        <v>-14.136125654450254</v>
      </c>
      <c r="H302" s="132">
        <f t="shared" si="30"/>
        <v>0</v>
      </c>
      <c r="I302" s="133">
        <v>1.5</v>
      </c>
      <c r="J302" s="112">
        <v>0</v>
      </c>
      <c r="K302" s="127">
        <f t="shared" si="31"/>
        <v>0.5</v>
      </c>
    </row>
    <row r="303" spans="1:11" x14ac:dyDescent="0.2">
      <c r="B303" s="107"/>
      <c r="C303" s="107" t="s">
        <v>15</v>
      </c>
      <c r="D303" s="108">
        <v>31</v>
      </c>
      <c r="E303" s="134">
        <v>22.1</v>
      </c>
      <c r="F303" s="116">
        <f t="shared" si="32"/>
        <v>115.70680628272252</v>
      </c>
      <c r="G303" s="110">
        <f t="shared" si="29"/>
        <v>-15.706806282722525</v>
      </c>
      <c r="H303" s="111">
        <f t="shared" si="30"/>
        <v>0</v>
      </c>
      <c r="I303" s="112">
        <v>1</v>
      </c>
      <c r="J303" s="112">
        <v>0</v>
      </c>
      <c r="K303" s="127">
        <f t="shared" si="31"/>
        <v>0.33333333333333331</v>
      </c>
    </row>
    <row r="304" spans="1:11" x14ac:dyDescent="0.2">
      <c r="B304" s="113"/>
      <c r="C304" s="113"/>
      <c r="D304" s="114">
        <v>33</v>
      </c>
      <c r="E304" s="134">
        <v>22.4</v>
      </c>
      <c r="F304" s="116">
        <f t="shared" si="32"/>
        <v>117.27748691099475</v>
      </c>
      <c r="G304" s="116">
        <f t="shared" si="29"/>
        <v>-17.277486910994753</v>
      </c>
      <c r="H304" s="117">
        <f>IF(G304&lt;=1, 0, IF(AND(G304&gt;1, G304&lt;=5), 1, IF(AND(G304&gt;5, G304&lt;=10), 2, IF(AND(G304&gt;10, G304&lt;=15), 3, 4))))</f>
        <v>0</v>
      </c>
      <c r="I304" s="112">
        <v>1</v>
      </c>
      <c r="J304" s="112">
        <v>0</v>
      </c>
      <c r="K304" s="127">
        <f t="shared" si="31"/>
        <v>0.33333333333333331</v>
      </c>
    </row>
    <row r="305" spans="1:11" x14ac:dyDescent="0.2">
      <c r="B305" s="113"/>
      <c r="C305" s="113" t="s">
        <v>16</v>
      </c>
      <c r="D305" s="114">
        <v>36</v>
      </c>
      <c r="E305" s="125">
        <v>22.3</v>
      </c>
      <c r="F305" s="116">
        <f t="shared" si="32"/>
        <v>116.75392670157068</v>
      </c>
      <c r="G305" s="116">
        <f t="shared" si="29"/>
        <v>-16.753926701570677</v>
      </c>
      <c r="H305" s="117">
        <f t="shared" ref="H305:H310" si="33">IF(G305&lt;=1, 0, IF(AND(G305&gt;1, G305&lt;=5), 1, IF(AND(G305&gt;5, G305&lt;=10), 2, IF(AND(G305&gt;10, G305&lt;=15), 3, 4))))</f>
        <v>0</v>
      </c>
      <c r="I305" s="112">
        <v>2</v>
      </c>
      <c r="J305" s="112">
        <v>2</v>
      </c>
      <c r="K305" s="135">
        <f t="shared" si="31"/>
        <v>1.3333333333333333</v>
      </c>
    </row>
    <row r="306" spans="1:11" x14ac:dyDescent="0.2">
      <c r="B306" s="113"/>
      <c r="C306" s="113"/>
      <c r="D306" s="114">
        <v>38</v>
      </c>
      <c r="E306" s="125">
        <v>21.7</v>
      </c>
      <c r="F306" s="116">
        <f t="shared" si="32"/>
        <v>113.61256544502616</v>
      </c>
      <c r="G306" s="116">
        <f>100-F306</f>
        <v>-13.612565445026164</v>
      </c>
      <c r="H306" s="117">
        <f t="shared" si="33"/>
        <v>0</v>
      </c>
      <c r="I306" s="112">
        <v>3</v>
      </c>
      <c r="J306" s="112">
        <v>0</v>
      </c>
      <c r="K306" s="127">
        <f t="shared" si="31"/>
        <v>1</v>
      </c>
    </row>
    <row r="307" spans="1:11" x14ac:dyDescent="0.2">
      <c r="B307" s="113"/>
      <c r="C307" s="113"/>
      <c r="D307" s="114">
        <v>40</v>
      </c>
      <c r="E307" s="125"/>
      <c r="F307" s="116">
        <f t="shared" si="32"/>
        <v>0</v>
      </c>
      <c r="G307" s="116">
        <f>100-F307</f>
        <v>100</v>
      </c>
      <c r="H307" s="117">
        <f t="shared" si="33"/>
        <v>4</v>
      </c>
      <c r="I307" s="112"/>
      <c r="J307" s="112"/>
      <c r="K307" s="127"/>
    </row>
    <row r="308" spans="1:11" x14ac:dyDescent="0.2">
      <c r="B308" s="113"/>
      <c r="C308" s="113" t="s">
        <v>15</v>
      </c>
      <c r="D308" s="114">
        <v>43</v>
      </c>
      <c r="E308" s="262"/>
      <c r="F308" s="116">
        <f t="shared" si="32"/>
        <v>0</v>
      </c>
      <c r="G308" s="116">
        <f>100-F308</f>
        <v>100</v>
      </c>
      <c r="H308" s="117">
        <f t="shared" si="33"/>
        <v>4</v>
      </c>
      <c r="I308" s="112"/>
      <c r="J308" s="112"/>
      <c r="K308" s="127">
        <f t="shared" si="31"/>
        <v>4</v>
      </c>
    </row>
    <row r="309" spans="1:11" x14ac:dyDescent="0.2">
      <c r="B309" s="113"/>
      <c r="C309" s="113"/>
      <c r="D309" s="114">
        <v>45</v>
      </c>
      <c r="E309" s="125"/>
      <c r="F309" s="116">
        <f t="shared" si="32"/>
        <v>0</v>
      </c>
      <c r="G309" s="116">
        <f>100-F309</f>
        <v>100</v>
      </c>
      <c r="H309" s="117">
        <f t="shared" si="33"/>
        <v>4</v>
      </c>
      <c r="I309" s="112"/>
      <c r="J309" s="112"/>
      <c r="K309" s="127">
        <f t="shared" si="31"/>
        <v>4</v>
      </c>
    </row>
    <row r="310" spans="1:11" x14ac:dyDescent="0.2">
      <c r="B310" s="128"/>
      <c r="C310" s="128"/>
      <c r="D310" s="129">
        <v>47</v>
      </c>
      <c r="E310" s="130"/>
      <c r="F310" s="131">
        <f t="shared" si="32"/>
        <v>0</v>
      </c>
      <c r="G310" s="131">
        <f>100-F310</f>
        <v>100</v>
      </c>
      <c r="H310" s="132">
        <f t="shared" si="33"/>
        <v>4</v>
      </c>
      <c r="I310" s="133"/>
      <c r="J310" s="285"/>
      <c r="K310" s="286">
        <f t="shared" si="31"/>
        <v>4</v>
      </c>
    </row>
    <row r="311" spans="1:11" x14ac:dyDescent="0.2">
      <c r="B311" s="150"/>
      <c r="C311" s="150"/>
      <c r="D311" s="129">
        <v>50</v>
      </c>
      <c r="E311" s="152"/>
      <c r="F311" s="153"/>
      <c r="G311" s="153"/>
      <c r="H311" s="154"/>
      <c r="I311" s="155"/>
      <c r="J311" s="155"/>
      <c r="K311" s="156"/>
    </row>
    <row r="312" spans="1:11" x14ac:dyDescent="0.2">
      <c r="B312" s="150"/>
      <c r="C312" s="150"/>
      <c r="D312" s="129">
        <v>52</v>
      </c>
      <c r="E312" s="152"/>
      <c r="F312" s="153"/>
      <c r="G312" s="153"/>
      <c r="H312" s="154"/>
      <c r="I312" s="155"/>
      <c r="J312" s="155"/>
      <c r="K312" s="156"/>
    </row>
    <row r="313" spans="1:11" x14ac:dyDescent="0.2">
      <c r="B313" s="150"/>
      <c r="C313" s="150"/>
      <c r="D313" s="129">
        <v>54</v>
      </c>
      <c r="E313" s="152"/>
      <c r="F313" s="153"/>
      <c r="G313" s="153"/>
      <c r="H313" s="154"/>
      <c r="I313" s="155"/>
      <c r="J313" s="155"/>
      <c r="K313" s="156"/>
    </row>
    <row r="314" spans="1:11" x14ac:dyDescent="0.2">
      <c r="B314" s="317"/>
      <c r="C314" s="317"/>
      <c r="D314" s="129">
        <v>57</v>
      </c>
      <c r="E314" s="319"/>
      <c r="F314" s="320"/>
      <c r="G314" s="320"/>
      <c r="H314" s="321"/>
      <c r="I314" s="322"/>
      <c r="J314" s="322"/>
      <c r="K314" s="323"/>
    </row>
    <row r="315" spans="1:11" x14ac:dyDescent="0.2">
      <c r="B315" s="317"/>
      <c r="C315" s="317"/>
      <c r="D315" s="129">
        <v>59</v>
      </c>
      <c r="E315" s="319"/>
      <c r="F315" s="320"/>
      <c r="G315" s="320"/>
      <c r="H315" s="321"/>
      <c r="I315" s="322"/>
      <c r="J315" s="322"/>
      <c r="K315" s="323"/>
    </row>
    <row r="316" spans="1:11" x14ac:dyDescent="0.2">
      <c r="B316" s="317"/>
      <c r="C316" s="317"/>
      <c r="D316" s="129">
        <v>61</v>
      </c>
      <c r="E316" s="319"/>
      <c r="F316" s="320"/>
      <c r="G316" s="320"/>
      <c r="H316" s="321"/>
      <c r="I316" s="322"/>
      <c r="J316" s="322"/>
      <c r="K316" s="323"/>
    </row>
    <row r="317" spans="1:11" ht="17" thickBot="1" x14ac:dyDescent="0.25">
      <c r="B317" s="324"/>
      <c r="C317" s="324"/>
      <c r="D317" s="140">
        <v>64</v>
      </c>
      <c r="E317" s="325"/>
      <c r="F317" s="326"/>
      <c r="G317" s="326"/>
      <c r="H317" s="327"/>
      <c r="I317" s="328"/>
      <c r="J317" s="328"/>
      <c r="K317" s="292"/>
    </row>
    <row r="318" spans="1:11" x14ac:dyDescent="0.2">
      <c r="A318" s="8" t="s">
        <v>24</v>
      </c>
      <c r="B318" s="287" t="s">
        <v>1</v>
      </c>
      <c r="C318" s="287" t="s">
        <v>21</v>
      </c>
      <c r="D318" s="288">
        <v>1</v>
      </c>
      <c r="E318" s="109">
        <v>19</v>
      </c>
      <c r="F318" s="289">
        <v>100</v>
      </c>
      <c r="G318" s="289">
        <f t="shared" ref="G318:G368" si="34">100-F318</f>
        <v>0</v>
      </c>
      <c r="H318" s="290">
        <f t="shared" ref="H318:H331" si="35">IF(G318&lt;=1, 0, IF(AND(G318&gt;1, G318&lt;=5), 1, IF(AND(G318&gt;5, G318&lt;=10), 2, IF(AND(G318&gt;10, G318&lt;=15), 3, 4))))</f>
        <v>0</v>
      </c>
      <c r="I318" s="291">
        <v>0</v>
      </c>
      <c r="J318" s="291">
        <v>0</v>
      </c>
      <c r="K318" s="290">
        <f t="shared" ref="K318:K334" si="36">AVERAGE(H318:J318)</f>
        <v>0</v>
      </c>
    </row>
    <row r="319" spans="1:11" x14ac:dyDescent="0.2">
      <c r="B319" s="113"/>
      <c r="C319" s="113"/>
      <c r="D319" s="114">
        <v>3</v>
      </c>
      <c r="E319" s="115">
        <v>16.5</v>
      </c>
      <c r="F319" s="116">
        <f t="shared" ref="F319:F345" si="37">E319/$E$318*100</f>
        <v>86.842105263157904</v>
      </c>
      <c r="G319" s="116">
        <f t="shared" si="34"/>
        <v>13.157894736842096</v>
      </c>
      <c r="H319" s="117">
        <f t="shared" si="35"/>
        <v>3</v>
      </c>
      <c r="I319" s="118">
        <v>1</v>
      </c>
      <c r="J319" s="112">
        <v>0</v>
      </c>
      <c r="K319" s="117">
        <f t="shared" si="36"/>
        <v>1.3333333333333333</v>
      </c>
    </row>
    <row r="320" spans="1:11" x14ac:dyDescent="0.2">
      <c r="B320" s="113"/>
      <c r="C320" s="113"/>
      <c r="D320" s="114">
        <v>5</v>
      </c>
      <c r="E320" s="115">
        <v>18.7</v>
      </c>
      <c r="F320" s="116">
        <f t="shared" si="37"/>
        <v>98.421052631578945</v>
      </c>
      <c r="G320" s="116">
        <f t="shared" si="34"/>
        <v>1.5789473684210549</v>
      </c>
      <c r="H320" s="117">
        <f t="shared" si="35"/>
        <v>1</v>
      </c>
      <c r="I320" s="118">
        <v>2</v>
      </c>
      <c r="J320" s="112">
        <v>0</v>
      </c>
      <c r="K320" s="117">
        <f t="shared" si="36"/>
        <v>1</v>
      </c>
    </row>
    <row r="321" spans="2:11" x14ac:dyDescent="0.2">
      <c r="B321" s="113"/>
      <c r="C321" s="113"/>
      <c r="D321" s="114">
        <v>8</v>
      </c>
      <c r="E321" s="119">
        <v>18.8</v>
      </c>
      <c r="F321" s="116">
        <f t="shared" si="37"/>
        <v>98.947368421052644</v>
      </c>
      <c r="G321" s="116">
        <f t="shared" si="34"/>
        <v>1.0526315789473557</v>
      </c>
      <c r="H321" s="117">
        <f t="shared" si="35"/>
        <v>1</v>
      </c>
      <c r="I321" s="118">
        <v>1.5</v>
      </c>
      <c r="J321" s="112">
        <v>0</v>
      </c>
      <c r="K321" s="111">
        <f t="shared" si="36"/>
        <v>0.83333333333333337</v>
      </c>
    </row>
    <row r="322" spans="2:11" x14ac:dyDescent="0.2">
      <c r="B322" s="113"/>
      <c r="C322" s="113"/>
      <c r="D322" s="114">
        <v>10</v>
      </c>
      <c r="E322" s="119">
        <v>19.8</v>
      </c>
      <c r="F322" s="116">
        <f t="shared" si="37"/>
        <v>104.21052631578948</v>
      </c>
      <c r="G322" s="116">
        <f t="shared" si="34"/>
        <v>-4.2105263157894797</v>
      </c>
      <c r="H322" s="117">
        <f t="shared" si="35"/>
        <v>0</v>
      </c>
      <c r="I322" s="118">
        <v>2.5</v>
      </c>
      <c r="J322" s="112">
        <v>0</v>
      </c>
      <c r="K322" s="111">
        <f t="shared" si="36"/>
        <v>0.83333333333333337</v>
      </c>
    </row>
    <row r="323" spans="2:11" x14ac:dyDescent="0.2">
      <c r="B323" s="113"/>
      <c r="C323" s="113"/>
      <c r="D323" s="114">
        <v>12</v>
      </c>
      <c r="E323" s="119">
        <v>19.7</v>
      </c>
      <c r="F323" s="116">
        <f t="shared" si="37"/>
        <v>103.68421052631578</v>
      </c>
      <c r="G323" s="116">
        <f t="shared" si="34"/>
        <v>-3.6842105263157805</v>
      </c>
      <c r="H323" s="117">
        <f t="shared" si="35"/>
        <v>0</v>
      </c>
      <c r="I323" s="118">
        <v>1.5</v>
      </c>
      <c r="J323" s="112">
        <v>0</v>
      </c>
      <c r="K323" s="111">
        <f t="shared" si="36"/>
        <v>0.5</v>
      </c>
    </row>
    <row r="324" spans="2:11" x14ac:dyDescent="0.2">
      <c r="B324" s="120"/>
      <c r="C324" s="120" t="s">
        <v>4</v>
      </c>
      <c r="D324" s="121">
        <v>15</v>
      </c>
      <c r="E324" s="119">
        <v>21.9</v>
      </c>
      <c r="F324" s="116">
        <f t="shared" si="37"/>
        <v>115.26315789473685</v>
      </c>
      <c r="G324" s="122">
        <f t="shared" si="34"/>
        <v>-15.26315789473685</v>
      </c>
      <c r="H324" s="123">
        <f t="shared" si="35"/>
        <v>0</v>
      </c>
      <c r="I324" s="124">
        <v>2.5</v>
      </c>
      <c r="J324" s="112">
        <v>0</v>
      </c>
      <c r="K324" s="111">
        <f t="shared" si="36"/>
        <v>0.83333333333333337</v>
      </c>
    </row>
    <row r="325" spans="2:11" x14ac:dyDescent="0.2">
      <c r="B325" s="113"/>
      <c r="C325" s="113" t="s">
        <v>3</v>
      </c>
      <c r="D325" s="114">
        <v>17</v>
      </c>
      <c r="E325" s="125">
        <v>20.399999999999999</v>
      </c>
      <c r="F325" s="116">
        <f t="shared" si="37"/>
        <v>107.36842105263158</v>
      </c>
      <c r="G325" s="116">
        <f t="shared" si="34"/>
        <v>-7.3684210526315752</v>
      </c>
      <c r="H325" s="117">
        <f t="shared" si="35"/>
        <v>0</v>
      </c>
      <c r="I325" s="118">
        <v>3.5</v>
      </c>
      <c r="J325" s="112">
        <v>0</v>
      </c>
      <c r="K325" s="126">
        <f t="shared" si="36"/>
        <v>1.1666666666666667</v>
      </c>
    </row>
    <row r="326" spans="2:11" x14ac:dyDescent="0.2">
      <c r="B326" s="113"/>
      <c r="C326" s="113"/>
      <c r="D326" s="114">
        <v>19</v>
      </c>
      <c r="E326" s="125">
        <v>21.2</v>
      </c>
      <c r="F326" s="116">
        <f t="shared" si="37"/>
        <v>111.57894736842104</v>
      </c>
      <c r="G326" s="116">
        <f t="shared" si="34"/>
        <v>-11.578947368421041</v>
      </c>
      <c r="H326" s="117">
        <f t="shared" si="35"/>
        <v>0</v>
      </c>
      <c r="I326" s="118">
        <v>3</v>
      </c>
      <c r="J326" s="112">
        <v>0</v>
      </c>
      <c r="K326" s="126">
        <f t="shared" si="36"/>
        <v>1</v>
      </c>
    </row>
    <row r="327" spans="2:11" x14ac:dyDescent="0.2">
      <c r="B327" s="113"/>
      <c r="C327" s="113"/>
      <c r="D327" s="114">
        <v>22</v>
      </c>
      <c r="E327" s="125">
        <v>21.2</v>
      </c>
      <c r="F327" s="116">
        <f t="shared" si="37"/>
        <v>111.57894736842104</v>
      </c>
      <c r="G327" s="116">
        <f t="shared" si="34"/>
        <v>-11.578947368421041</v>
      </c>
      <c r="H327" s="117">
        <f t="shared" si="35"/>
        <v>0</v>
      </c>
      <c r="I327" s="118">
        <v>1</v>
      </c>
      <c r="J327" s="112">
        <v>0</v>
      </c>
      <c r="K327" s="127">
        <f t="shared" si="36"/>
        <v>0.33333333333333331</v>
      </c>
    </row>
    <row r="328" spans="2:11" x14ac:dyDescent="0.2">
      <c r="B328" s="113"/>
      <c r="C328" s="113"/>
      <c r="D328" s="114">
        <v>24</v>
      </c>
      <c r="E328" s="125">
        <v>22.4</v>
      </c>
      <c r="F328" s="116">
        <f t="shared" si="37"/>
        <v>117.89473684210525</v>
      </c>
      <c r="G328" s="116">
        <f t="shared" si="34"/>
        <v>-17.894736842105246</v>
      </c>
      <c r="H328" s="117">
        <f t="shared" si="35"/>
        <v>0</v>
      </c>
      <c r="I328" s="118">
        <v>3</v>
      </c>
      <c r="J328" s="112">
        <v>0</v>
      </c>
      <c r="K328" s="127">
        <f t="shared" si="36"/>
        <v>1</v>
      </c>
    </row>
    <row r="329" spans="2:11" x14ac:dyDescent="0.2">
      <c r="B329" s="128"/>
      <c r="C329" s="128"/>
      <c r="D329" s="129">
        <v>26</v>
      </c>
      <c r="E329" s="130">
        <v>22.9</v>
      </c>
      <c r="F329" s="131">
        <f t="shared" si="37"/>
        <v>120.52631578947368</v>
      </c>
      <c r="G329" s="131">
        <f t="shared" si="34"/>
        <v>-20.526315789473685</v>
      </c>
      <c r="H329" s="132">
        <f t="shared" si="35"/>
        <v>0</v>
      </c>
      <c r="I329" s="133">
        <v>3</v>
      </c>
      <c r="J329" s="112">
        <v>0</v>
      </c>
      <c r="K329" s="127">
        <f t="shared" si="36"/>
        <v>1</v>
      </c>
    </row>
    <row r="330" spans="2:11" x14ac:dyDescent="0.2">
      <c r="B330" s="128"/>
      <c r="C330" s="128"/>
      <c r="D330" s="129">
        <v>29</v>
      </c>
      <c r="E330" s="130">
        <v>22.6</v>
      </c>
      <c r="F330" s="131">
        <f t="shared" si="37"/>
        <v>118.94736842105264</v>
      </c>
      <c r="G330" s="131">
        <f t="shared" si="34"/>
        <v>-18.947368421052644</v>
      </c>
      <c r="H330" s="132">
        <f t="shared" si="35"/>
        <v>0</v>
      </c>
      <c r="I330" s="133">
        <v>1.5</v>
      </c>
      <c r="J330" s="112">
        <v>0</v>
      </c>
      <c r="K330" s="127">
        <f t="shared" si="36"/>
        <v>0.5</v>
      </c>
    </row>
    <row r="331" spans="2:11" x14ac:dyDescent="0.2">
      <c r="B331" s="107"/>
      <c r="C331" s="107" t="s">
        <v>15</v>
      </c>
      <c r="D331" s="108">
        <v>31</v>
      </c>
      <c r="E331" s="268">
        <v>21.9</v>
      </c>
      <c r="F331" s="110">
        <f t="shared" si="37"/>
        <v>115.26315789473685</v>
      </c>
      <c r="G331" s="110">
        <f t="shared" si="34"/>
        <v>-15.26315789473685</v>
      </c>
      <c r="H331" s="111">
        <f t="shared" si="35"/>
        <v>0</v>
      </c>
      <c r="I331" s="112">
        <v>1</v>
      </c>
      <c r="J331" s="112">
        <v>0</v>
      </c>
      <c r="K331" s="127">
        <f t="shared" si="36"/>
        <v>0.33333333333333331</v>
      </c>
    </row>
    <row r="332" spans="2:11" x14ac:dyDescent="0.2">
      <c r="B332" s="113"/>
      <c r="C332" s="113"/>
      <c r="D332" s="114">
        <v>33</v>
      </c>
      <c r="E332" s="268">
        <v>22.3</v>
      </c>
      <c r="F332" s="116">
        <f t="shared" si="37"/>
        <v>117.36842105263159</v>
      </c>
      <c r="G332" s="116">
        <f t="shared" si="34"/>
        <v>-17.368421052631589</v>
      </c>
      <c r="H332" s="117">
        <f>IF(G332&lt;=1, 0, IF(AND(G332&gt;1, G332&lt;=5), 1, IF(AND(G332&gt;5, G332&lt;=10), 2, IF(AND(G332&gt;10, G332&lt;=15), 3, 4))))</f>
        <v>0</v>
      </c>
      <c r="I332" s="112">
        <v>1.5</v>
      </c>
      <c r="J332" s="112">
        <v>0</v>
      </c>
      <c r="K332" s="127">
        <f t="shared" si="36"/>
        <v>0.5</v>
      </c>
    </row>
    <row r="333" spans="2:11" x14ac:dyDescent="0.2">
      <c r="B333" s="113"/>
      <c r="C333" s="113" t="s">
        <v>16</v>
      </c>
      <c r="D333" s="114">
        <v>36</v>
      </c>
      <c r="E333" s="125">
        <v>22.4</v>
      </c>
      <c r="F333" s="116">
        <f t="shared" si="37"/>
        <v>117.89473684210525</v>
      </c>
      <c r="G333" s="116">
        <f t="shared" si="34"/>
        <v>-17.894736842105246</v>
      </c>
      <c r="H333" s="117">
        <f t="shared" ref="H333:H368" si="38">IF(G333&lt;=1, 0, IF(AND(G333&gt;1, G333&lt;=5), 1, IF(AND(G333&gt;5, G333&lt;=10), 2, IF(AND(G333&gt;10, G333&lt;=15), 3, 4))))</f>
        <v>0</v>
      </c>
      <c r="I333" s="112">
        <v>2</v>
      </c>
      <c r="J333" s="112">
        <v>3</v>
      </c>
      <c r="K333" s="135">
        <f t="shared" si="36"/>
        <v>1.6666666666666667</v>
      </c>
    </row>
    <row r="334" spans="2:11" x14ac:dyDescent="0.2">
      <c r="B334" s="113"/>
      <c r="C334" s="113"/>
      <c r="D334" s="114">
        <v>38</v>
      </c>
      <c r="E334" s="125">
        <v>21.8</v>
      </c>
      <c r="F334" s="116">
        <f t="shared" si="37"/>
        <v>114.73684210526316</v>
      </c>
      <c r="G334" s="116">
        <f t="shared" si="34"/>
        <v>-14.736842105263165</v>
      </c>
      <c r="H334" s="117">
        <f t="shared" si="38"/>
        <v>0</v>
      </c>
      <c r="I334" s="112">
        <v>3.5</v>
      </c>
      <c r="J334" s="112">
        <v>0</v>
      </c>
      <c r="K334" s="127">
        <f t="shared" si="36"/>
        <v>1.1666666666666667</v>
      </c>
    </row>
    <row r="335" spans="2:11" x14ac:dyDescent="0.2">
      <c r="B335" s="113"/>
      <c r="C335" s="113"/>
      <c r="D335" s="114">
        <v>40</v>
      </c>
      <c r="E335" s="125"/>
      <c r="F335" s="116">
        <f t="shared" si="37"/>
        <v>0</v>
      </c>
      <c r="G335" s="116">
        <f t="shared" si="34"/>
        <v>100</v>
      </c>
      <c r="H335" s="117">
        <f t="shared" si="38"/>
        <v>4</v>
      </c>
      <c r="I335" s="112"/>
      <c r="J335" s="112"/>
      <c r="K335" s="127">
        <f t="shared" ref="K335:K367" si="39">AVERAGE(H335:J335)</f>
        <v>4</v>
      </c>
    </row>
    <row r="336" spans="2:11" x14ac:dyDescent="0.2">
      <c r="B336" s="113"/>
      <c r="C336" s="113" t="s">
        <v>15</v>
      </c>
      <c r="D336" s="114">
        <v>43</v>
      </c>
      <c r="E336" s="125"/>
      <c r="F336" s="116">
        <f t="shared" si="37"/>
        <v>0</v>
      </c>
      <c r="G336" s="116">
        <f t="shared" si="34"/>
        <v>100</v>
      </c>
      <c r="H336" s="117">
        <f t="shared" si="38"/>
        <v>4</v>
      </c>
      <c r="I336" s="112"/>
      <c r="J336" s="112"/>
      <c r="K336" s="127">
        <f t="shared" si="39"/>
        <v>4</v>
      </c>
    </row>
    <row r="337" spans="1:11" x14ac:dyDescent="0.2">
      <c r="B337" s="113"/>
      <c r="C337" s="113"/>
      <c r="D337" s="114">
        <v>45</v>
      </c>
      <c r="E337" s="125"/>
      <c r="F337" s="116">
        <f t="shared" si="37"/>
        <v>0</v>
      </c>
      <c r="G337" s="116">
        <f t="shared" si="34"/>
        <v>100</v>
      </c>
      <c r="H337" s="117">
        <f t="shared" si="38"/>
        <v>4</v>
      </c>
      <c r="I337" s="112"/>
      <c r="J337" s="112"/>
      <c r="K337" s="127">
        <f t="shared" si="39"/>
        <v>4</v>
      </c>
    </row>
    <row r="338" spans="1:11" x14ac:dyDescent="0.2">
      <c r="B338" s="128"/>
      <c r="C338" s="128"/>
      <c r="D338" s="129">
        <v>47</v>
      </c>
      <c r="E338" s="130"/>
      <c r="F338" s="131">
        <f t="shared" si="37"/>
        <v>0</v>
      </c>
      <c r="G338" s="131">
        <f t="shared" si="34"/>
        <v>100</v>
      </c>
      <c r="H338" s="132">
        <f t="shared" si="38"/>
        <v>4</v>
      </c>
      <c r="I338" s="136"/>
      <c r="J338" s="112"/>
      <c r="K338" s="127">
        <f t="shared" si="39"/>
        <v>4</v>
      </c>
    </row>
    <row r="339" spans="1:11" x14ac:dyDescent="0.2">
      <c r="B339" s="128"/>
      <c r="C339" s="128" t="s">
        <v>16</v>
      </c>
      <c r="D339" s="129">
        <v>50</v>
      </c>
      <c r="E339" s="130"/>
      <c r="F339" s="116">
        <f t="shared" si="37"/>
        <v>0</v>
      </c>
      <c r="G339" s="116">
        <f t="shared" si="34"/>
        <v>100</v>
      </c>
      <c r="H339" s="117">
        <f t="shared" si="38"/>
        <v>4</v>
      </c>
      <c r="I339" s="137"/>
      <c r="J339" s="112"/>
      <c r="K339" s="127">
        <f t="shared" si="39"/>
        <v>4</v>
      </c>
    </row>
    <row r="340" spans="1:11" x14ac:dyDescent="0.2">
      <c r="B340" s="128"/>
      <c r="C340" s="128"/>
      <c r="D340" s="129">
        <v>52</v>
      </c>
      <c r="E340" s="130"/>
      <c r="F340" s="131">
        <f t="shared" si="37"/>
        <v>0</v>
      </c>
      <c r="G340" s="131">
        <f t="shared" si="34"/>
        <v>100</v>
      </c>
      <c r="H340" s="132">
        <f t="shared" si="38"/>
        <v>4</v>
      </c>
      <c r="I340" s="137"/>
      <c r="J340" s="112"/>
      <c r="K340" s="127">
        <f t="shared" si="39"/>
        <v>4</v>
      </c>
    </row>
    <row r="341" spans="1:11" x14ac:dyDescent="0.2">
      <c r="B341" s="128"/>
      <c r="C341" s="128"/>
      <c r="D341" s="129">
        <v>54</v>
      </c>
      <c r="E341" s="130"/>
      <c r="F341" s="131">
        <f t="shared" si="37"/>
        <v>0</v>
      </c>
      <c r="G341" s="131">
        <f t="shared" si="34"/>
        <v>100</v>
      </c>
      <c r="H341" s="132">
        <f t="shared" si="38"/>
        <v>4</v>
      </c>
      <c r="I341" s="137"/>
      <c r="J341" s="112"/>
      <c r="K341" s="127">
        <f t="shared" si="39"/>
        <v>4</v>
      </c>
    </row>
    <row r="342" spans="1:11" x14ac:dyDescent="0.2">
      <c r="B342" s="128"/>
      <c r="C342" s="128" t="s">
        <v>15</v>
      </c>
      <c r="D342" s="129">
        <v>57</v>
      </c>
      <c r="E342" s="306"/>
      <c r="F342" s="131">
        <f t="shared" si="37"/>
        <v>0</v>
      </c>
      <c r="G342" s="131">
        <f t="shared" si="34"/>
        <v>100</v>
      </c>
      <c r="H342" s="132">
        <f t="shared" si="38"/>
        <v>4</v>
      </c>
      <c r="I342" s="137"/>
      <c r="J342" s="112"/>
      <c r="K342" s="127">
        <f t="shared" si="39"/>
        <v>4</v>
      </c>
    </row>
    <row r="343" spans="1:11" x14ac:dyDescent="0.2">
      <c r="B343" s="128"/>
      <c r="C343" s="128"/>
      <c r="D343" s="129">
        <v>59</v>
      </c>
      <c r="E343" s="130"/>
      <c r="F343" s="131">
        <f t="shared" si="37"/>
        <v>0</v>
      </c>
      <c r="G343" s="131">
        <f t="shared" si="34"/>
        <v>100</v>
      </c>
      <c r="H343" s="132">
        <f t="shared" si="38"/>
        <v>4</v>
      </c>
      <c r="I343" s="137"/>
      <c r="J343" s="112"/>
      <c r="K343" s="127">
        <f t="shared" si="39"/>
        <v>4</v>
      </c>
    </row>
    <row r="344" spans="1:11" x14ac:dyDescent="0.2">
      <c r="B344" s="128"/>
      <c r="C344" s="128"/>
      <c r="D344" s="129">
        <v>61</v>
      </c>
      <c r="E344" s="130"/>
      <c r="F344" s="131">
        <f t="shared" si="37"/>
        <v>0</v>
      </c>
      <c r="G344" s="131">
        <f t="shared" si="34"/>
        <v>100</v>
      </c>
      <c r="H344" s="132">
        <f t="shared" si="38"/>
        <v>4</v>
      </c>
      <c r="I344" s="137"/>
      <c r="J344" s="112"/>
      <c r="K344" s="127">
        <f t="shared" si="39"/>
        <v>4</v>
      </c>
    </row>
    <row r="345" spans="1:11" ht="17" thickBot="1" x14ac:dyDescent="0.25">
      <c r="B345" s="139"/>
      <c r="C345" s="139"/>
      <c r="D345" s="140">
        <v>64</v>
      </c>
      <c r="E345" s="141"/>
      <c r="F345" s="142">
        <f t="shared" si="37"/>
        <v>0</v>
      </c>
      <c r="G345" s="142">
        <f t="shared" si="34"/>
        <v>100</v>
      </c>
      <c r="H345" s="143">
        <f t="shared" si="38"/>
        <v>4</v>
      </c>
      <c r="I345" s="293"/>
      <c r="J345" s="294"/>
      <c r="K345" s="144">
        <f t="shared" si="39"/>
        <v>4</v>
      </c>
    </row>
    <row r="346" spans="1:11" x14ac:dyDescent="0.2">
      <c r="A346" s="8" t="s">
        <v>24</v>
      </c>
      <c r="B346" s="145" t="s">
        <v>2</v>
      </c>
      <c r="C346" s="146" t="s">
        <v>21</v>
      </c>
      <c r="D346" s="108">
        <v>1</v>
      </c>
      <c r="E346" s="147">
        <v>20.8</v>
      </c>
      <c r="F346" s="148">
        <v>100</v>
      </c>
      <c r="G346" s="148">
        <f t="shared" si="34"/>
        <v>0</v>
      </c>
      <c r="H346" s="149">
        <f t="shared" si="38"/>
        <v>0</v>
      </c>
      <c r="I346" s="138">
        <v>0</v>
      </c>
      <c r="J346" s="138">
        <v>0</v>
      </c>
      <c r="K346" s="111">
        <f t="shared" si="39"/>
        <v>0</v>
      </c>
    </row>
    <row r="347" spans="1:11" x14ac:dyDescent="0.2">
      <c r="B347" s="150"/>
      <c r="C347" s="150"/>
      <c r="D347" s="114">
        <v>3</v>
      </c>
      <c r="E347" s="152">
        <v>19.8</v>
      </c>
      <c r="F347" s="116">
        <f t="shared" ref="F347:F368" si="40">E347/$E$346*100</f>
        <v>95.192307692307693</v>
      </c>
      <c r="G347" s="153">
        <f t="shared" si="34"/>
        <v>4.8076923076923066</v>
      </c>
      <c r="H347" s="154">
        <f t="shared" si="38"/>
        <v>1</v>
      </c>
      <c r="I347" s="155">
        <v>2.5</v>
      </c>
      <c r="J347" s="155">
        <v>0</v>
      </c>
      <c r="K347" s="111">
        <f t="shared" si="39"/>
        <v>1.1666666666666667</v>
      </c>
    </row>
    <row r="348" spans="1:11" x14ac:dyDescent="0.2">
      <c r="B348" s="150"/>
      <c r="C348" s="150"/>
      <c r="D348" s="114">
        <v>5</v>
      </c>
      <c r="E348" s="152">
        <v>21.8</v>
      </c>
      <c r="F348" s="116">
        <f t="shared" si="40"/>
        <v>104.80769230769231</v>
      </c>
      <c r="G348" s="153">
        <f t="shared" si="34"/>
        <v>-4.8076923076923066</v>
      </c>
      <c r="H348" s="154">
        <f t="shared" si="38"/>
        <v>0</v>
      </c>
      <c r="I348" s="155">
        <v>2</v>
      </c>
      <c r="J348" s="155">
        <v>0</v>
      </c>
      <c r="K348" s="111">
        <f t="shared" si="39"/>
        <v>0.66666666666666663</v>
      </c>
    </row>
    <row r="349" spans="1:11" x14ac:dyDescent="0.2">
      <c r="B349" s="150"/>
      <c r="C349" s="150"/>
      <c r="D349" s="114">
        <v>8</v>
      </c>
      <c r="E349" s="152">
        <v>22.1</v>
      </c>
      <c r="F349" s="116">
        <f t="shared" si="40"/>
        <v>106.25</v>
      </c>
      <c r="G349" s="153">
        <f t="shared" si="34"/>
        <v>-6.25</v>
      </c>
      <c r="H349" s="154">
        <f t="shared" si="38"/>
        <v>0</v>
      </c>
      <c r="I349" s="155">
        <v>2</v>
      </c>
      <c r="J349" s="155">
        <v>0</v>
      </c>
      <c r="K349" s="111">
        <f t="shared" si="39"/>
        <v>0.66666666666666663</v>
      </c>
    </row>
    <row r="350" spans="1:11" x14ac:dyDescent="0.2">
      <c r="B350" s="150"/>
      <c r="C350" s="150"/>
      <c r="D350" s="114">
        <v>10</v>
      </c>
      <c r="E350" s="152">
        <v>22.6</v>
      </c>
      <c r="F350" s="116">
        <f>E350/$E$346*100</f>
        <v>108.65384615384616</v>
      </c>
      <c r="G350" s="153">
        <f t="shared" si="34"/>
        <v>-8.6538461538461604</v>
      </c>
      <c r="H350" s="154">
        <f t="shared" si="38"/>
        <v>0</v>
      </c>
      <c r="I350" s="155">
        <v>3</v>
      </c>
      <c r="J350" s="155">
        <v>0</v>
      </c>
      <c r="K350" s="111">
        <f t="shared" si="39"/>
        <v>1</v>
      </c>
    </row>
    <row r="351" spans="1:11" x14ac:dyDescent="0.2">
      <c r="B351" s="150"/>
      <c r="C351" s="150"/>
      <c r="D351" s="114">
        <v>12</v>
      </c>
      <c r="E351" s="152">
        <v>21.7</v>
      </c>
      <c r="F351" s="116">
        <f t="shared" si="40"/>
        <v>104.32692307692307</v>
      </c>
      <c r="G351" s="153">
        <f t="shared" si="34"/>
        <v>-4.326923076923066</v>
      </c>
      <c r="H351" s="154">
        <f t="shared" si="38"/>
        <v>0</v>
      </c>
      <c r="I351" s="155">
        <v>2.5</v>
      </c>
      <c r="J351" s="155">
        <v>0</v>
      </c>
      <c r="K351" s="111">
        <f t="shared" si="39"/>
        <v>0.83333333333333337</v>
      </c>
    </row>
    <row r="352" spans="1:11" x14ac:dyDescent="0.2">
      <c r="B352" s="150"/>
      <c r="C352" s="157" t="s">
        <v>4</v>
      </c>
      <c r="D352" s="121">
        <v>15</v>
      </c>
      <c r="E352" s="152">
        <v>22.6</v>
      </c>
      <c r="F352" s="116">
        <f t="shared" si="40"/>
        <v>108.65384615384616</v>
      </c>
      <c r="G352" s="153">
        <f t="shared" si="34"/>
        <v>-8.6538461538461604</v>
      </c>
      <c r="H352" s="154">
        <f t="shared" si="38"/>
        <v>0</v>
      </c>
      <c r="I352" s="155">
        <v>2.5</v>
      </c>
      <c r="J352" s="155">
        <v>0</v>
      </c>
      <c r="K352" s="111">
        <f t="shared" si="39"/>
        <v>0.83333333333333337</v>
      </c>
    </row>
    <row r="353" spans="1:11" x14ac:dyDescent="0.2">
      <c r="B353" s="150"/>
      <c r="C353" s="150" t="s">
        <v>3</v>
      </c>
      <c r="D353" s="114">
        <v>17</v>
      </c>
      <c r="E353" s="152">
        <v>22.5</v>
      </c>
      <c r="F353" s="258">
        <f t="shared" si="40"/>
        <v>108.17307692307692</v>
      </c>
      <c r="G353" s="153">
        <f t="shared" si="34"/>
        <v>-8.1730769230769198</v>
      </c>
      <c r="H353" s="154">
        <f t="shared" si="38"/>
        <v>0</v>
      </c>
      <c r="I353" s="155">
        <v>2.5</v>
      </c>
      <c r="J353" s="155">
        <v>0</v>
      </c>
      <c r="K353" s="156">
        <f t="shared" si="39"/>
        <v>0.83333333333333337</v>
      </c>
    </row>
    <row r="354" spans="1:11" x14ac:dyDescent="0.2">
      <c r="B354" s="150"/>
      <c r="C354" s="150"/>
      <c r="D354" s="114">
        <v>19</v>
      </c>
      <c r="E354" s="152">
        <v>22.6</v>
      </c>
      <c r="F354" s="153">
        <f t="shared" si="40"/>
        <v>108.65384615384616</v>
      </c>
      <c r="G354" s="153">
        <f t="shared" si="34"/>
        <v>-8.6538461538461604</v>
      </c>
      <c r="H354" s="154">
        <f t="shared" si="38"/>
        <v>0</v>
      </c>
      <c r="I354" s="155">
        <v>3.5</v>
      </c>
      <c r="J354" s="155">
        <v>0</v>
      </c>
      <c r="K354" s="156">
        <f t="shared" si="39"/>
        <v>1.1666666666666667</v>
      </c>
    </row>
    <row r="355" spans="1:11" x14ac:dyDescent="0.2">
      <c r="A355" s="7"/>
      <c r="B355" s="150"/>
      <c r="C355" s="150"/>
      <c r="D355" s="114">
        <v>22</v>
      </c>
      <c r="E355" s="152">
        <v>22.6</v>
      </c>
      <c r="F355" s="153">
        <f t="shared" si="40"/>
        <v>108.65384615384616</v>
      </c>
      <c r="G355" s="153">
        <f t="shared" si="34"/>
        <v>-8.6538461538461604</v>
      </c>
      <c r="H355" s="154">
        <f t="shared" si="38"/>
        <v>0</v>
      </c>
      <c r="I355" s="155">
        <v>1</v>
      </c>
      <c r="J355" s="155">
        <v>0</v>
      </c>
      <c r="K355" s="156">
        <f t="shared" si="39"/>
        <v>0.33333333333333331</v>
      </c>
    </row>
    <row r="356" spans="1:11" x14ac:dyDescent="0.2">
      <c r="A356" s="7"/>
      <c r="B356" s="150"/>
      <c r="C356" s="150"/>
      <c r="D356" s="114">
        <v>24</v>
      </c>
      <c r="E356" s="152">
        <v>23.8</v>
      </c>
      <c r="F356" s="153">
        <f>E356/$E$346*100</f>
        <v>114.42307692307692</v>
      </c>
      <c r="G356" s="153">
        <f t="shared" si="34"/>
        <v>-14.42307692307692</v>
      </c>
      <c r="H356" s="154">
        <f t="shared" si="38"/>
        <v>0</v>
      </c>
      <c r="I356" s="155">
        <v>2.5</v>
      </c>
      <c r="J356" s="155">
        <v>0</v>
      </c>
      <c r="K356" s="156">
        <f t="shared" si="39"/>
        <v>0.83333333333333337</v>
      </c>
    </row>
    <row r="357" spans="1:11" x14ac:dyDescent="0.2">
      <c r="A357" s="7"/>
      <c r="B357" s="150"/>
      <c r="C357" s="150"/>
      <c r="D357" s="129">
        <v>26</v>
      </c>
      <c r="E357" s="264">
        <v>23</v>
      </c>
      <c r="F357" s="153">
        <f t="shared" si="40"/>
        <v>110.57692307692308</v>
      </c>
      <c r="G357" s="153">
        <f t="shared" si="34"/>
        <v>-10.57692307692308</v>
      </c>
      <c r="H357" s="154">
        <f t="shared" si="38"/>
        <v>0</v>
      </c>
      <c r="I357" s="155">
        <v>1.5</v>
      </c>
      <c r="J357" s="155">
        <v>0</v>
      </c>
      <c r="K357" s="156">
        <f t="shared" si="39"/>
        <v>0.5</v>
      </c>
    </row>
    <row r="358" spans="1:11" x14ac:dyDescent="0.2">
      <c r="A358" s="7"/>
      <c r="B358" s="150"/>
      <c r="C358" s="150"/>
      <c r="D358" s="129">
        <v>29</v>
      </c>
      <c r="E358" s="264">
        <v>24</v>
      </c>
      <c r="F358" s="153">
        <f t="shared" si="40"/>
        <v>115.38461538461537</v>
      </c>
      <c r="G358" s="153">
        <f t="shared" si="34"/>
        <v>-15.384615384615373</v>
      </c>
      <c r="H358" s="154">
        <f t="shared" si="38"/>
        <v>0</v>
      </c>
      <c r="I358" s="155">
        <v>1</v>
      </c>
      <c r="J358" s="155">
        <v>0</v>
      </c>
      <c r="K358" s="156">
        <f t="shared" si="39"/>
        <v>0.33333333333333331</v>
      </c>
    </row>
    <row r="359" spans="1:11" x14ac:dyDescent="0.2">
      <c r="A359" s="7"/>
      <c r="B359" s="150"/>
      <c r="C359" s="150" t="s">
        <v>15</v>
      </c>
      <c r="D359" s="108">
        <v>31</v>
      </c>
      <c r="E359" s="152">
        <v>23.6</v>
      </c>
      <c r="F359" s="153">
        <f t="shared" si="40"/>
        <v>113.46153846153845</v>
      </c>
      <c r="G359" s="153">
        <f t="shared" si="34"/>
        <v>-13.461538461538453</v>
      </c>
      <c r="H359" s="154">
        <f t="shared" si="38"/>
        <v>0</v>
      </c>
      <c r="I359" s="155">
        <v>2</v>
      </c>
      <c r="J359" s="155">
        <v>0</v>
      </c>
      <c r="K359" s="156">
        <f t="shared" si="39"/>
        <v>0.66666666666666663</v>
      </c>
    </row>
    <row r="360" spans="1:11" x14ac:dyDescent="0.2">
      <c r="B360" s="150"/>
      <c r="C360" s="150"/>
      <c r="D360" s="114">
        <v>33</v>
      </c>
      <c r="E360" s="152">
        <v>24.1</v>
      </c>
      <c r="F360" s="153">
        <f t="shared" si="40"/>
        <v>115.86538461538463</v>
      </c>
      <c r="G360" s="153">
        <f t="shared" si="34"/>
        <v>-15.865384615384627</v>
      </c>
      <c r="H360" s="154">
        <f t="shared" si="38"/>
        <v>0</v>
      </c>
      <c r="I360" s="155">
        <v>1.5</v>
      </c>
      <c r="J360" s="155">
        <v>0</v>
      </c>
      <c r="K360" s="156">
        <f t="shared" si="39"/>
        <v>0.5</v>
      </c>
    </row>
    <row r="361" spans="1:11" x14ac:dyDescent="0.2">
      <c r="B361" s="150"/>
      <c r="C361" s="150" t="s">
        <v>16</v>
      </c>
      <c r="D361" s="114">
        <v>36</v>
      </c>
      <c r="E361" s="152">
        <v>24.1</v>
      </c>
      <c r="F361" s="153">
        <f t="shared" si="40"/>
        <v>115.86538461538463</v>
      </c>
      <c r="G361" s="153">
        <f t="shared" si="34"/>
        <v>-15.865384615384627</v>
      </c>
      <c r="H361" s="154">
        <f t="shared" si="38"/>
        <v>0</v>
      </c>
      <c r="I361" s="155">
        <v>3.5</v>
      </c>
      <c r="J361" s="155">
        <v>2.5</v>
      </c>
      <c r="K361" s="156">
        <f t="shared" si="39"/>
        <v>2</v>
      </c>
    </row>
    <row r="362" spans="1:11" x14ac:dyDescent="0.2">
      <c r="B362" s="150"/>
      <c r="C362" s="150"/>
      <c r="D362" s="114">
        <v>38</v>
      </c>
      <c r="E362" s="152">
        <v>24.4</v>
      </c>
      <c r="F362" s="153">
        <f t="shared" si="40"/>
        <v>117.30769230769229</v>
      </c>
      <c r="G362" s="153">
        <f t="shared" si="34"/>
        <v>-17.307692307692292</v>
      </c>
      <c r="H362" s="154">
        <f t="shared" si="38"/>
        <v>0</v>
      </c>
      <c r="I362" s="155">
        <v>2.5</v>
      </c>
      <c r="J362" s="155">
        <v>0</v>
      </c>
      <c r="K362" s="156">
        <f t="shared" si="39"/>
        <v>0.83333333333333337</v>
      </c>
    </row>
    <row r="363" spans="1:11" x14ac:dyDescent="0.2">
      <c r="B363" s="150"/>
      <c r="C363" s="150"/>
      <c r="D363" s="114">
        <v>40</v>
      </c>
      <c r="E363" s="152"/>
      <c r="F363" s="153">
        <f t="shared" si="40"/>
        <v>0</v>
      </c>
      <c r="G363" s="153">
        <f t="shared" si="34"/>
        <v>100</v>
      </c>
      <c r="H363" s="154">
        <f t="shared" si="38"/>
        <v>4</v>
      </c>
      <c r="I363" s="155"/>
      <c r="J363" s="155"/>
      <c r="K363" s="156"/>
    </row>
    <row r="364" spans="1:11" x14ac:dyDescent="0.2">
      <c r="B364" s="150"/>
      <c r="C364" s="150" t="s">
        <v>15</v>
      </c>
      <c r="D364" s="114">
        <v>43</v>
      </c>
      <c r="E364" s="264"/>
      <c r="F364" s="153">
        <f t="shared" si="40"/>
        <v>0</v>
      </c>
      <c r="G364" s="153">
        <f t="shared" si="34"/>
        <v>100</v>
      </c>
      <c r="H364" s="154">
        <f t="shared" si="38"/>
        <v>4</v>
      </c>
      <c r="I364" s="155"/>
      <c r="J364" s="155"/>
      <c r="K364" s="156">
        <f t="shared" si="39"/>
        <v>4</v>
      </c>
    </row>
    <row r="365" spans="1:11" x14ac:dyDescent="0.2">
      <c r="B365" s="150"/>
      <c r="C365" s="150"/>
      <c r="D365" s="114">
        <v>45</v>
      </c>
      <c r="E365" s="152"/>
      <c r="F365" s="153">
        <f t="shared" si="40"/>
        <v>0</v>
      </c>
      <c r="G365" s="153">
        <f t="shared" si="34"/>
        <v>100</v>
      </c>
      <c r="H365" s="154">
        <f t="shared" si="38"/>
        <v>4</v>
      </c>
      <c r="I365" s="155"/>
      <c r="J365" s="155"/>
      <c r="K365" s="156">
        <f t="shared" si="39"/>
        <v>4</v>
      </c>
    </row>
    <row r="366" spans="1:11" x14ac:dyDescent="0.2">
      <c r="B366" s="150"/>
      <c r="C366" s="150"/>
      <c r="D366" s="129">
        <v>47</v>
      </c>
      <c r="E366" s="152"/>
      <c r="F366" s="153">
        <f t="shared" si="40"/>
        <v>0</v>
      </c>
      <c r="G366" s="153">
        <f t="shared" si="34"/>
        <v>100</v>
      </c>
      <c r="H366" s="154">
        <f t="shared" si="38"/>
        <v>4</v>
      </c>
      <c r="I366" s="155"/>
      <c r="J366" s="155"/>
      <c r="K366" s="156">
        <f t="shared" si="39"/>
        <v>4</v>
      </c>
    </row>
    <row r="367" spans="1:11" x14ac:dyDescent="0.2">
      <c r="B367" s="150"/>
      <c r="C367" s="150" t="s">
        <v>16</v>
      </c>
      <c r="D367" s="151">
        <v>50</v>
      </c>
      <c r="E367" s="152"/>
      <c r="F367" s="153">
        <f t="shared" si="40"/>
        <v>0</v>
      </c>
      <c r="G367" s="153">
        <f t="shared" si="34"/>
        <v>100</v>
      </c>
      <c r="H367" s="154">
        <f t="shared" si="38"/>
        <v>4</v>
      </c>
      <c r="I367" s="155"/>
      <c r="J367" s="155"/>
      <c r="K367" s="156">
        <f t="shared" si="39"/>
        <v>4</v>
      </c>
    </row>
    <row r="368" spans="1:11" x14ac:dyDescent="0.2">
      <c r="B368" s="317"/>
      <c r="C368" s="317"/>
      <c r="D368" s="318">
        <v>52</v>
      </c>
      <c r="E368" s="319"/>
      <c r="F368" s="320">
        <f t="shared" si="40"/>
        <v>0</v>
      </c>
      <c r="G368" s="320">
        <f t="shared" si="34"/>
        <v>100</v>
      </c>
      <c r="H368" s="321">
        <f t="shared" si="38"/>
        <v>4</v>
      </c>
      <c r="I368" s="322"/>
      <c r="J368" s="322"/>
      <c r="K368" s="323"/>
    </row>
    <row r="369" spans="1:11" x14ac:dyDescent="0.2">
      <c r="B369" s="317"/>
      <c r="C369" s="317"/>
      <c r="D369" s="129">
        <v>54</v>
      </c>
      <c r="E369" s="319"/>
      <c r="F369" s="320"/>
      <c r="G369" s="320"/>
      <c r="H369" s="321"/>
      <c r="I369" s="322"/>
      <c r="J369" s="322"/>
      <c r="K369" s="323"/>
    </row>
    <row r="370" spans="1:11" x14ac:dyDescent="0.2">
      <c r="B370" s="317"/>
      <c r="C370" s="317"/>
      <c r="D370" s="129">
        <v>57</v>
      </c>
      <c r="E370" s="319"/>
      <c r="F370" s="320"/>
      <c r="G370" s="320"/>
      <c r="H370" s="321"/>
      <c r="I370" s="322"/>
      <c r="J370" s="322"/>
      <c r="K370" s="323"/>
    </row>
    <row r="371" spans="1:11" x14ac:dyDescent="0.2">
      <c r="B371" s="317"/>
      <c r="C371" s="317"/>
      <c r="D371" s="129">
        <v>59</v>
      </c>
      <c r="E371" s="319"/>
      <c r="F371" s="320"/>
      <c r="G371" s="320"/>
      <c r="H371" s="321"/>
      <c r="I371" s="322"/>
      <c r="J371" s="322"/>
      <c r="K371" s="323"/>
    </row>
    <row r="372" spans="1:11" x14ac:dyDescent="0.2">
      <c r="B372" s="317"/>
      <c r="C372" s="317"/>
      <c r="D372" s="129">
        <v>61</v>
      </c>
      <c r="E372" s="319"/>
      <c r="F372" s="320"/>
      <c r="G372" s="320"/>
      <c r="H372" s="321"/>
      <c r="I372" s="322"/>
      <c r="J372" s="322"/>
      <c r="K372" s="323"/>
    </row>
    <row r="373" spans="1:11" ht="17" thickBot="1" x14ac:dyDescent="0.25">
      <c r="B373" s="351"/>
      <c r="C373" s="351"/>
      <c r="D373" s="140">
        <v>64</v>
      </c>
      <c r="E373" s="352"/>
      <c r="F373" s="353"/>
      <c r="G373" s="353"/>
      <c r="H373" s="354"/>
      <c r="I373" s="355"/>
      <c r="J373" s="355"/>
      <c r="K373" s="292"/>
    </row>
    <row r="374" spans="1:11" x14ac:dyDescent="0.2">
      <c r="A374" s="8" t="s">
        <v>24</v>
      </c>
      <c r="B374" s="145" t="s">
        <v>17</v>
      </c>
      <c r="C374" s="146" t="s">
        <v>21</v>
      </c>
      <c r="D374" s="108">
        <v>1</v>
      </c>
      <c r="E374" s="147">
        <v>19.3</v>
      </c>
      <c r="F374" s="148">
        <v>100</v>
      </c>
      <c r="G374" s="148">
        <f t="shared" ref="G374:G396" si="41">100-F374</f>
        <v>0</v>
      </c>
      <c r="H374" s="149">
        <f t="shared" ref="H374:H396" si="42">IF(G374&lt;=1, 0, IF(AND(G374&gt;1, G374&lt;=5), 1, IF(AND(G374&gt;5, G374&lt;=10), 2, IF(AND(G374&gt;10, G374&lt;=15), 3, 4))))</f>
        <v>0</v>
      </c>
      <c r="I374" s="138">
        <v>0</v>
      </c>
      <c r="J374" s="138">
        <v>0</v>
      </c>
      <c r="K374" s="111">
        <f t="shared" ref="K374:K389" si="43">AVERAGE(H374:J374)</f>
        <v>0</v>
      </c>
    </row>
    <row r="375" spans="1:11" x14ac:dyDescent="0.2">
      <c r="B375" s="150"/>
      <c r="C375" s="150"/>
      <c r="D375" s="114">
        <v>3</v>
      </c>
      <c r="E375" s="152">
        <v>19.5</v>
      </c>
      <c r="F375" s="116">
        <f t="shared" ref="F375:F390" si="44">E375/$E$374*100</f>
        <v>101.03626943005182</v>
      </c>
      <c r="G375" s="153">
        <f t="shared" si="41"/>
        <v>-1.0362694300518172</v>
      </c>
      <c r="H375" s="154">
        <f t="shared" si="42"/>
        <v>0</v>
      </c>
      <c r="I375" s="155">
        <v>3</v>
      </c>
      <c r="J375" s="155">
        <v>0</v>
      </c>
      <c r="K375" s="111">
        <f t="shared" si="43"/>
        <v>1</v>
      </c>
    </row>
    <row r="376" spans="1:11" x14ac:dyDescent="0.2">
      <c r="B376" s="150"/>
      <c r="C376" s="150"/>
      <c r="D376" s="114">
        <v>5</v>
      </c>
      <c r="E376" s="152">
        <v>20.7</v>
      </c>
      <c r="F376" s="116">
        <f t="shared" si="44"/>
        <v>107.25388601036268</v>
      </c>
      <c r="G376" s="153">
        <f t="shared" si="41"/>
        <v>-7.2538860103626774</v>
      </c>
      <c r="H376" s="154">
        <f t="shared" si="42"/>
        <v>0</v>
      </c>
      <c r="I376" s="155">
        <v>2.5</v>
      </c>
      <c r="J376" s="155">
        <v>0</v>
      </c>
      <c r="K376" s="111">
        <f t="shared" si="43"/>
        <v>0.83333333333333337</v>
      </c>
    </row>
    <row r="377" spans="1:11" x14ac:dyDescent="0.2">
      <c r="B377" s="150"/>
      <c r="C377" s="150"/>
      <c r="D377" s="114">
        <v>8</v>
      </c>
      <c r="E377" s="152">
        <v>21.8</v>
      </c>
      <c r="F377" s="116">
        <f t="shared" si="44"/>
        <v>112.95336787564767</v>
      </c>
      <c r="G377" s="153">
        <f t="shared" si="41"/>
        <v>-12.953367875647672</v>
      </c>
      <c r="H377" s="154">
        <f t="shared" si="42"/>
        <v>0</v>
      </c>
      <c r="I377" s="155">
        <v>2</v>
      </c>
      <c r="J377" s="155">
        <v>0</v>
      </c>
      <c r="K377" s="111">
        <f t="shared" si="43"/>
        <v>0.66666666666666663</v>
      </c>
    </row>
    <row r="378" spans="1:11" x14ac:dyDescent="0.2">
      <c r="B378" s="150"/>
      <c r="C378" s="150"/>
      <c r="D378" s="114">
        <v>10</v>
      </c>
      <c r="E378" s="152">
        <v>22.2</v>
      </c>
      <c r="F378" s="116">
        <f t="shared" si="44"/>
        <v>115.02590673575128</v>
      </c>
      <c r="G378" s="153">
        <f t="shared" si="41"/>
        <v>-15.025906735751278</v>
      </c>
      <c r="H378" s="154">
        <f t="shared" si="42"/>
        <v>0</v>
      </c>
      <c r="I378" s="155">
        <v>2</v>
      </c>
      <c r="J378" s="155">
        <v>0</v>
      </c>
      <c r="K378" s="111">
        <f t="shared" si="43"/>
        <v>0.66666666666666663</v>
      </c>
    </row>
    <row r="379" spans="1:11" x14ac:dyDescent="0.2">
      <c r="B379" s="150"/>
      <c r="C379" s="150"/>
      <c r="D379" s="114">
        <v>12</v>
      </c>
      <c r="E379" s="152">
        <v>22</v>
      </c>
      <c r="F379" s="116">
        <f t="shared" si="44"/>
        <v>113.98963730569949</v>
      </c>
      <c r="G379" s="153">
        <f t="shared" si="41"/>
        <v>-13.989637305699489</v>
      </c>
      <c r="H379" s="154">
        <f t="shared" si="42"/>
        <v>0</v>
      </c>
      <c r="I379" s="155">
        <v>1.5</v>
      </c>
      <c r="J379" s="155">
        <v>0</v>
      </c>
      <c r="K379" s="111">
        <f t="shared" si="43"/>
        <v>0.5</v>
      </c>
    </row>
    <row r="380" spans="1:11" x14ac:dyDescent="0.2">
      <c r="B380" s="150"/>
      <c r="C380" s="157" t="s">
        <v>4</v>
      </c>
      <c r="D380" s="121">
        <v>15</v>
      </c>
      <c r="E380" s="152">
        <v>22.6</v>
      </c>
      <c r="F380" s="116">
        <f t="shared" si="44"/>
        <v>117.09844559585491</v>
      </c>
      <c r="G380" s="153">
        <f t="shared" si="41"/>
        <v>-17.098445595854912</v>
      </c>
      <c r="H380" s="154">
        <f t="shared" si="42"/>
        <v>0</v>
      </c>
      <c r="I380" s="155">
        <v>3.5</v>
      </c>
      <c r="J380" s="155">
        <v>0</v>
      </c>
      <c r="K380" s="111">
        <f t="shared" si="43"/>
        <v>1.1666666666666667</v>
      </c>
    </row>
    <row r="381" spans="1:11" x14ac:dyDescent="0.2">
      <c r="B381" s="150"/>
      <c r="C381" s="150" t="s">
        <v>3</v>
      </c>
      <c r="D381" s="114">
        <v>17</v>
      </c>
      <c r="E381" s="152">
        <v>22</v>
      </c>
      <c r="F381" s="116">
        <f t="shared" si="44"/>
        <v>113.98963730569949</v>
      </c>
      <c r="G381" s="153">
        <f t="shared" si="41"/>
        <v>-13.989637305699489</v>
      </c>
      <c r="H381" s="154">
        <f t="shared" si="42"/>
        <v>0</v>
      </c>
      <c r="I381" s="155">
        <v>3.5</v>
      </c>
      <c r="J381" s="155">
        <v>0</v>
      </c>
      <c r="K381" s="156">
        <f t="shared" si="43"/>
        <v>1.1666666666666667</v>
      </c>
    </row>
    <row r="382" spans="1:11" x14ac:dyDescent="0.2">
      <c r="B382" s="150"/>
      <c r="C382" s="150"/>
      <c r="D382" s="114">
        <v>19</v>
      </c>
      <c r="E382" s="152">
        <v>22.2</v>
      </c>
      <c r="F382" s="116">
        <f t="shared" si="44"/>
        <v>115.02590673575128</v>
      </c>
      <c r="G382" s="153">
        <f t="shared" si="41"/>
        <v>-15.025906735751278</v>
      </c>
      <c r="H382" s="154">
        <f t="shared" si="42"/>
        <v>0</v>
      </c>
      <c r="I382" s="155">
        <v>4</v>
      </c>
      <c r="J382" s="155">
        <v>0</v>
      </c>
      <c r="K382" s="156">
        <f t="shared" si="43"/>
        <v>1.3333333333333333</v>
      </c>
    </row>
    <row r="383" spans="1:11" x14ac:dyDescent="0.2">
      <c r="A383" s="7"/>
      <c r="B383" s="150"/>
      <c r="C383" s="150"/>
      <c r="D383" s="114">
        <v>22</v>
      </c>
      <c r="E383" s="152">
        <v>22.6</v>
      </c>
      <c r="F383" s="116">
        <f t="shared" si="44"/>
        <v>117.09844559585491</v>
      </c>
      <c r="G383" s="153">
        <f t="shared" si="41"/>
        <v>-17.098445595854912</v>
      </c>
      <c r="H383" s="154">
        <f t="shared" si="42"/>
        <v>0</v>
      </c>
      <c r="I383" s="155">
        <v>1</v>
      </c>
      <c r="J383" s="155">
        <v>0</v>
      </c>
      <c r="K383" s="156">
        <f t="shared" si="43"/>
        <v>0.33333333333333331</v>
      </c>
    </row>
    <row r="384" spans="1:11" x14ac:dyDescent="0.2">
      <c r="A384" s="7"/>
      <c r="B384" s="150"/>
      <c r="C384" s="150"/>
      <c r="D384" s="114">
        <v>24</v>
      </c>
      <c r="E384" s="152">
        <v>23.5</v>
      </c>
      <c r="F384" s="116">
        <f t="shared" si="44"/>
        <v>121.76165803108807</v>
      </c>
      <c r="G384" s="153">
        <f t="shared" si="41"/>
        <v>-21.761658031088075</v>
      </c>
      <c r="H384" s="154">
        <f t="shared" si="42"/>
        <v>0</v>
      </c>
      <c r="I384" s="155">
        <v>2.5</v>
      </c>
      <c r="J384" s="155">
        <v>0</v>
      </c>
      <c r="K384" s="156">
        <f t="shared" si="43"/>
        <v>0.83333333333333337</v>
      </c>
    </row>
    <row r="385" spans="1:11" x14ac:dyDescent="0.2">
      <c r="A385" s="7"/>
      <c r="B385" s="150"/>
      <c r="C385" s="150"/>
      <c r="D385" s="129">
        <v>26</v>
      </c>
      <c r="E385" s="264">
        <v>22.3</v>
      </c>
      <c r="F385" s="116">
        <f t="shared" si="44"/>
        <v>115.54404145077719</v>
      </c>
      <c r="G385" s="153">
        <f t="shared" si="41"/>
        <v>-15.544041450777186</v>
      </c>
      <c r="H385" s="154">
        <f t="shared" si="42"/>
        <v>0</v>
      </c>
      <c r="I385" s="155">
        <v>1</v>
      </c>
      <c r="J385" s="155">
        <v>0</v>
      </c>
      <c r="K385" s="156">
        <f t="shared" si="43"/>
        <v>0.33333333333333331</v>
      </c>
    </row>
    <row r="386" spans="1:11" x14ac:dyDescent="0.2">
      <c r="A386" s="7"/>
      <c r="B386" s="150"/>
      <c r="C386" s="150"/>
      <c r="D386" s="129">
        <v>29</v>
      </c>
      <c r="E386" s="264">
        <v>23.1</v>
      </c>
      <c r="F386" s="116">
        <f t="shared" si="44"/>
        <v>119.68911917098445</v>
      </c>
      <c r="G386" s="153">
        <f t="shared" si="41"/>
        <v>-19.689119170984455</v>
      </c>
      <c r="H386" s="154">
        <f t="shared" si="42"/>
        <v>0</v>
      </c>
      <c r="I386" s="155">
        <v>2</v>
      </c>
      <c r="J386" s="155">
        <v>0</v>
      </c>
      <c r="K386" s="156">
        <f t="shared" si="43"/>
        <v>0.66666666666666663</v>
      </c>
    </row>
    <row r="387" spans="1:11" x14ac:dyDescent="0.2">
      <c r="A387" s="7"/>
      <c r="B387" s="150"/>
      <c r="C387" s="150" t="s">
        <v>15</v>
      </c>
      <c r="D387" s="108">
        <v>31</v>
      </c>
      <c r="E387" s="152">
        <v>21.8</v>
      </c>
      <c r="F387" s="116">
        <f t="shared" si="44"/>
        <v>112.95336787564767</v>
      </c>
      <c r="G387" s="153">
        <f t="shared" si="41"/>
        <v>-12.953367875647672</v>
      </c>
      <c r="H387" s="154">
        <f t="shared" si="42"/>
        <v>0</v>
      </c>
      <c r="I387" s="155">
        <v>2</v>
      </c>
      <c r="J387" s="155">
        <v>0</v>
      </c>
      <c r="K387" s="156">
        <f t="shared" si="43"/>
        <v>0.66666666666666663</v>
      </c>
    </row>
    <row r="388" spans="1:11" x14ac:dyDescent="0.2">
      <c r="B388" s="150"/>
      <c r="C388" s="150"/>
      <c r="D388" s="114">
        <v>33</v>
      </c>
      <c r="E388" s="152">
        <v>22.5</v>
      </c>
      <c r="F388" s="116">
        <f t="shared" si="44"/>
        <v>116.580310880829</v>
      </c>
      <c r="G388" s="153">
        <f t="shared" si="41"/>
        <v>-16.580310880829003</v>
      </c>
      <c r="H388" s="154">
        <f t="shared" si="42"/>
        <v>0</v>
      </c>
      <c r="I388" s="155">
        <v>2</v>
      </c>
      <c r="J388" s="155">
        <v>0</v>
      </c>
      <c r="K388" s="156">
        <f t="shared" si="43"/>
        <v>0.66666666666666663</v>
      </c>
    </row>
    <row r="389" spans="1:11" x14ac:dyDescent="0.2">
      <c r="B389" s="150"/>
      <c r="C389" s="150" t="s">
        <v>16</v>
      </c>
      <c r="D389" s="114">
        <v>36</v>
      </c>
      <c r="E389" s="152">
        <v>22.4</v>
      </c>
      <c r="F389" s="116">
        <f t="shared" si="44"/>
        <v>116.06217616580309</v>
      </c>
      <c r="G389" s="153">
        <f t="shared" si="41"/>
        <v>-16.062176165803095</v>
      </c>
      <c r="H389" s="154">
        <f t="shared" si="42"/>
        <v>0</v>
      </c>
      <c r="I389" s="155">
        <v>3.5</v>
      </c>
      <c r="J389" s="155">
        <v>1</v>
      </c>
      <c r="K389" s="156">
        <f t="shared" si="43"/>
        <v>1.5</v>
      </c>
    </row>
    <row r="390" spans="1:11" x14ac:dyDescent="0.2">
      <c r="B390" s="150"/>
      <c r="C390" s="150"/>
      <c r="D390" s="114">
        <v>38</v>
      </c>
      <c r="E390" s="152">
        <v>22.1</v>
      </c>
      <c r="F390" s="116">
        <f t="shared" si="44"/>
        <v>114.5077720207254</v>
      </c>
      <c r="G390" s="153">
        <f t="shared" si="41"/>
        <v>-14.507772020725398</v>
      </c>
      <c r="H390" s="154">
        <f t="shared" si="42"/>
        <v>0</v>
      </c>
      <c r="I390" s="155">
        <v>4</v>
      </c>
      <c r="J390" s="155">
        <v>0</v>
      </c>
      <c r="K390" s="156">
        <f t="shared" ref="K390" si="45">AVERAGE(H390:J390)</f>
        <v>1.3333333333333333</v>
      </c>
    </row>
    <row r="391" spans="1:11" x14ac:dyDescent="0.2">
      <c r="B391" s="150"/>
      <c r="C391" s="150"/>
      <c r="D391" s="114">
        <v>40</v>
      </c>
      <c r="E391" s="152"/>
      <c r="F391" s="153">
        <f t="shared" ref="F391:F396" si="46">E391/$E$346*100</f>
        <v>0</v>
      </c>
      <c r="G391" s="153">
        <f t="shared" si="41"/>
        <v>100</v>
      </c>
      <c r="H391" s="154">
        <f t="shared" si="42"/>
        <v>4</v>
      </c>
      <c r="I391" s="155"/>
      <c r="J391" s="155"/>
      <c r="K391" s="156"/>
    </row>
    <row r="392" spans="1:11" x14ac:dyDescent="0.2">
      <c r="B392" s="150"/>
      <c r="C392" s="150" t="s">
        <v>15</v>
      </c>
      <c r="D392" s="114">
        <v>43</v>
      </c>
      <c r="E392" s="264"/>
      <c r="F392" s="153">
        <f t="shared" si="46"/>
        <v>0</v>
      </c>
      <c r="G392" s="153">
        <f t="shared" si="41"/>
        <v>100</v>
      </c>
      <c r="H392" s="154">
        <f t="shared" si="42"/>
        <v>4</v>
      </c>
      <c r="I392" s="155"/>
      <c r="J392" s="155"/>
      <c r="K392" s="156">
        <f t="shared" ref="K392:K395" si="47">AVERAGE(H392:J392)</f>
        <v>4</v>
      </c>
    </row>
    <row r="393" spans="1:11" x14ac:dyDescent="0.2">
      <c r="B393" s="150"/>
      <c r="C393" s="150"/>
      <c r="D393" s="114">
        <v>45</v>
      </c>
      <c r="E393" s="152"/>
      <c r="F393" s="153">
        <f t="shared" si="46"/>
        <v>0</v>
      </c>
      <c r="G393" s="153">
        <f t="shared" si="41"/>
        <v>100</v>
      </c>
      <c r="H393" s="154">
        <f t="shared" si="42"/>
        <v>4</v>
      </c>
      <c r="I393" s="155"/>
      <c r="J393" s="155"/>
      <c r="K393" s="156">
        <f t="shared" si="47"/>
        <v>4</v>
      </c>
    </row>
    <row r="394" spans="1:11" x14ac:dyDescent="0.2">
      <c r="B394" s="150"/>
      <c r="C394" s="150"/>
      <c r="D394" s="129">
        <v>47</v>
      </c>
      <c r="E394" s="152"/>
      <c r="F394" s="153">
        <f t="shared" si="46"/>
        <v>0</v>
      </c>
      <c r="G394" s="153">
        <f t="shared" si="41"/>
        <v>100</v>
      </c>
      <c r="H394" s="154">
        <f t="shared" si="42"/>
        <v>4</v>
      </c>
      <c r="I394" s="155"/>
      <c r="J394" s="155"/>
      <c r="K394" s="156">
        <f t="shared" si="47"/>
        <v>4</v>
      </c>
    </row>
    <row r="395" spans="1:11" x14ac:dyDescent="0.2">
      <c r="B395" s="150"/>
      <c r="C395" s="150" t="s">
        <v>16</v>
      </c>
      <c r="D395" s="151">
        <v>50</v>
      </c>
      <c r="E395" s="152"/>
      <c r="F395" s="153">
        <f t="shared" si="46"/>
        <v>0</v>
      </c>
      <c r="G395" s="153">
        <f t="shared" si="41"/>
        <v>100</v>
      </c>
      <c r="H395" s="154">
        <f t="shared" si="42"/>
        <v>4</v>
      </c>
      <c r="I395" s="155"/>
      <c r="J395" s="155"/>
      <c r="K395" s="156">
        <f t="shared" si="47"/>
        <v>4</v>
      </c>
    </row>
    <row r="396" spans="1:11" x14ac:dyDescent="0.2">
      <c r="B396" s="317"/>
      <c r="C396" s="317"/>
      <c r="D396" s="318">
        <v>52</v>
      </c>
      <c r="E396" s="319"/>
      <c r="F396" s="320">
        <f t="shared" si="46"/>
        <v>0</v>
      </c>
      <c r="G396" s="320">
        <f t="shared" si="41"/>
        <v>100</v>
      </c>
      <c r="H396" s="321">
        <f t="shared" si="42"/>
        <v>4</v>
      </c>
      <c r="I396" s="322"/>
      <c r="J396" s="322"/>
      <c r="K396" s="323"/>
    </row>
    <row r="397" spans="1:11" x14ac:dyDescent="0.2">
      <c r="B397" s="317"/>
      <c r="C397" s="317"/>
      <c r="D397" s="129">
        <v>54</v>
      </c>
      <c r="E397" s="319"/>
      <c r="F397" s="320"/>
      <c r="G397" s="320"/>
      <c r="H397" s="321"/>
      <c r="I397" s="322"/>
      <c r="J397" s="322"/>
      <c r="K397" s="323"/>
    </row>
    <row r="398" spans="1:11" x14ac:dyDescent="0.2">
      <c r="B398" s="317"/>
      <c r="C398" s="317"/>
      <c r="D398" s="129">
        <v>57</v>
      </c>
      <c r="E398" s="319"/>
      <c r="F398" s="320"/>
      <c r="G398" s="320"/>
      <c r="H398" s="321"/>
      <c r="I398" s="322"/>
      <c r="J398" s="322"/>
      <c r="K398" s="323"/>
    </row>
    <row r="399" spans="1:11" x14ac:dyDescent="0.2">
      <c r="B399" s="317"/>
      <c r="C399" s="317"/>
      <c r="D399" s="129">
        <v>59</v>
      </c>
      <c r="E399" s="319"/>
      <c r="F399" s="320"/>
      <c r="G399" s="320"/>
      <c r="H399" s="321"/>
      <c r="I399" s="322"/>
      <c r="J399" s="322"/>
      <c r="K399" s="323"/>
    </row>
    <row r="400" spans="1:11" x14ac:dyDescent="0.2">
      <c r="B400" s="317"/>
      <c r="C400" s="317"/>
      <c r="D400" s="129">
        <v>61</v>
      </c>
      <c r="E400" s="319"/>
      <c r="F400" s="320"/>
      <c r="G400" s="320"/>
      <c r="H400" s="321"/>
      <c r="I400" s="322"/>
      <c r="J400" s="322"/>
      <c r="K400" s="323"/>
    </row>
    <row r="401" spans="1:11" ht="17" thickBot="1" x14ac:dyDescent="0.25">
      <c r="B401" s="351"/>
      <c r="C401" s="351"/>
      <c r="D401" s="140">
        <v>64</v>
      </c>
      <c r="E401" s="352"/>
      <c r="F401" s="353"/>
      <c r="G401" s="353"/>
      <c r="H401" s="354"/>
      <c r="I401" s="355"/>
      <c r="J401" s="355"/>
      <c r="K401" s="292"/>
    </row>
    <row r="402" spans="1:11" x14ac:dyDescent="0.2">
      <c r="A402" s="8" t="s">
        <v>24</v>
      </c>
      <c r="B402" s="145" t="s">
        <v>18</v>
      </c>
      <c r="C402" s="146" t="s">
        <v>21</v>
      </c>
      <c r="D402" s="108">
        <v>1</v>
      </c>
      <c r="E402" s="147">
        <v>18.5</v>
      </c>
      <c r="F402" s="148">
        <v>100</v>
      </c>
      <c r="G402" s="148">
        <f t="shared" ref="G402:G424" si="48">100-F402</f>
        <v>0</v>
      </c>
      <c r="H402" s="149">
        <f t="shared" ref="H402:H424" si="49">IF(G402&lt;=1, 0, IF(AND(G402&gt;1, G402&lt;=5), 1, IF(AND(G402&gt;5, G402&lt;=10), 2, IF(AND(G402&gt;10, G402&lt;=15), 3, 4))))</f>
        <v>0</v>
      </c>
      <c r="I402" s="138">
        <v>0</v>
      </c>
      <c r="J402" s="138">
        <v>0</v>
      </c>
      <c r="K402" s="111">
        <f t="shared" ref="K402:K417" si="50">AVERAGE(H402:J402)</f>
        <v>0</v>
      </c>
    </row>
    <row r="403" spans="1:11" x14ac:dyDescent="0.2">
      <c r="B403" s="150"/>
      <c r="C403" s="150"/>
      <c r="D403" s="114">
        <v>3</v>
      </c>
      <c r="E403" s="152">
        <v>16.8</v>
      </c>
      <c r="F403" s="116">
        <f t="shared" ref="F403:F418" si="51">E403/$E$402*100</f>
        <v>90.810810810810821</v>
      </c>
      <c r="G403" s="153">
        <f t="shared" si="48"/>
        <v>9.1891891891891788</v>
      </c>
      <c r="H403" s="154">
        <f t="shared" si="49"/>
        <v>2</v>
      </c>
      <c r="I403" s="155">
        <v>2.5</v>
      </c>
      <c r="J403" s="155">
        <v>0</v>
      </c>
      <c r="K403" s="111">
        <f t="shared" si="50"/>
        <v>1.5</v>
      </c>
    </row>
    <row r="404" spans="1:11" x14ac:dyDescent="0.2">
      <c r="B404" s="150"/>
      <c r="C404" s="150"/>
      <c r="D404" s="114">
        <v>5</v>
      </c>
      <c r="E404" s="152">
        <v>18.5</v>
      </c>
      <c r="F404" s="116">
        <f t="shared" si="51"/>
        <v>100</v>
      </c>
      <c r="G404" s="153">
        <f t="shared" si="48"/>
        <v>0</v>
      </c>
      <c r="H404" s="154">
        <f t="shared" si="49"/>
        <v>0</v>
      </c>
      <c r="I404" s="155">
        <v>2</v>
      </c>
      <c r="J404" s="155">
        <v>0</v>
      </c>
      <c r="K404" s="111">
        <f t="shared" si="50"/>
        <v>0.66666666666666663</v>
      </c>
    </row>
    <row r="405" spans="1:11" x14ac:dyDescent="0.2">
      <c r="B405" s="150"/>
      <c r="C405" s="150"/>
      <c r="D405" s="114">
        <v>8</v>
      </c>
      <c r="E405" s="152">
        <v>19.399999999999999</v>
      </c>
      <c r="F405" s="116">
        <f t="shared" si="51"/>
        <v>104.86486486486486</v>
      </c>
      <c r="G405" s="153">
        <f t="shared" si="48"/>
        <v>-4.864864864864856</v>
      </c>
      <c r="H405" s="154">
        <f t="shared" si="49"/>
        <v>0</v>
      </c>
      <c r="I405" s="155">
        <v>2</v>
      </c>
      <c r="J405" s="155">
        <v>0</v>
      </c>
      <c r="K405" s="111">
        <f t="shared" si="50"/>
        <v>0.66666666666666663</v>
      </c>
    </row>
    <row r="406" spans="1:11" x14ac:dyDescent="0.2">
      <c r="B406" s="150"/>
      <c r="C406" s="150"/>
      <c r="D406" s="114">
        <v>10</v>
      </c>
      <c r="E406" s="152">
        <v>19.7</v>
      </c>
      <c r="F406" s="116">
        <f t="shared" si="51"/>
        <v>106.48648648648648</v>
      </c>
      <c r="G406" s="153">
        <f t="shared" si="48"/>
        <v>-6.4864864864864842</v>
      </c>
      <c r="H406" s="154">
        <f t="shared" si="49"/>
        <v>0</v>
      </c>
      <c r="I406" s="155">
        <v>4</v>
      </c>
      <c r="J406" s="155">
        <v>0</v>
      </c>
      <c r="K406" s="111">
        <f t="shared" si="50"/>
        <v>1.3333333333333333</v>
      </c>
    </row>
    <row r="407" spans="1:11" x14ac:dyDescent="0.2">
      <c r="B407" s="150"/>
      <c r="C407" s="150"/>
      <c r="D407" s="114">
        <v>12</v>
      </c>
      <c r="E407" s="152">
        <v>19.2</v>
      </c>
      <c r="F407" s="116">
        <f t="shared" si="51"/>
        <v>103.78378378378379</v>
      </c>
      <c r="G407" s="153">
        <f t="shared" si="48"/>
        <v>-3.7837837837837895</v>
      </c>
      <c r="H407" s="154">
        <f t="shared" si="49"/>
        <v>0</v>
      </c>
      <c r="I407" s="155">
        <v>2.5</v>
      </c>
      <c r="J407" s="155">
        <v>0</v>
      </c>
      <c r="K407" s="111">
        <f t="shared" si="50"/>
        <v>0.83333333333333337</v>
      </c>
    </row>
    <row r="408" spans="1:11" x14ac:dyDescent="0.2">
      <c r="B408" s="150"/>
      <c r="C408" s="157" t="s">
        <v>4</v>
      </c>
      <c r="D408" s="121">
        <v>15</v>
      </c>
      <c r="E408" s="152">
        <v>20.6</v>
      </c>
      <c r="F408" s="116">
        <f t="shared" si="51"/>
        <v>111.35135135135137</v>
      </c>
      <c r="G408" s="153">
        <f t="shared" si="48"/>
        <v>-11.351351351351369</v>
      </c>
      <c r="H408" s="154">
        <f t="shared" si="49"/>
        <v>0</v>
      </c>
      <c r="I408" s="155">
        <v>3</v>
      </c>
      <c r="J408" s="155">
        <v>0</v>
      </c>
      <c r="K408" s="111">
        <f t="shared" si="50"/>
        <v>1</v>
      </c>
    </row>
    <row r="409" spans="1:11" x14ac:dyDescent="0.2">
      <c r="B409" s="150"/>
      <c r="C409" s="150" t="s">
        <v>3</v>
      </c>
      <c r="D409" s="114">
        <v>17</v>
      </c>
      <c r="E409" s="152">
        <v>19.7</v>
      </c>
      <c r="F409" s="116">
        <f t="shared" si="51"/>
        <v>106.48648648648648</v>
      </c>
      <c r="G409" s="153">
        <f t="shared" si="48"/>
        <v>-6.4864864864864842</v>
      </c>
      <c r="H409" s="154">
        <f t="shared" si="49"/>
        <v>0</v>
      </c>
      <c r="I409" s="155">
        <v>3.5</v>
      </c>
      <c r="J409" s="155">
        <v>0</v>
      </c>
      <c r="K409" s="156">
        <f t="shared" si="50"/>
        <v>1.1666666666666667</v>
      </c>
    </row>
    <row r="410" spans="1:11" x14ac:dyDescent="0.2">
      <c r="B410" s="150"/>
      <c r="C410" s="150"/>
      <c r="D410" s="114">
        <v>19</v>
      </c>
      <c r="E410" s="152">
        <v>20.3</v>
      </c>
      <c r="F410" s="116">
        <f t="shared" si="51"/>
        <v>109.72972972972974</v>
      </c>
      <c r="G410" s="153">
        <f t="shared" si="48"/>
        <v>-9.7297297297297405</v>
      </c>
      <c r="H410" s="154">
        <f t="shared" si="49"/>
        <v>0</v>
      </c>
      <c r="I410" s="155">
        <v>4</v>
      </c>
      <c r="J410" s="155">
        <v>0</v>
      </c>
      <c r="K410" s="156">
        <f t="shared" si="50"/>
        <v>1.3333333333333333</v>
      </c>
    </row>
    <row r="411" spans="1:11" x14ac:dyDescent="0.2">
      <c r="A411" s="7"/>
      <c r="B411" s="150"/>
      <c r="C411" s="150"/>
      <c r="D411" s="114">
        <v>22</v>
      </c>
      <c r="E411" s="152">
        <v>20.3</v>
      </c>
      <c r="F411" s="116">
        <f t="shared" si="51"/>
        <v>109.72972972972974</v>
      </c>
      <c r="G411" s="153">
        <f t="shared" si="48"/>
        <v>-9.7297297297297405</v>
      </c>
      <c r="H411" s="154">
        <f t="shared" si="49"/>
        <v>0</v>
      </c>
      <c r="I411" s="155">
        <v>2</v>
      </c>
      <c r="J411" s="155">
        <v>0</v>
      </c>
      <c r="K411" s="156">
        <f t="shared" si="50"/>
        <v>0.66666666666666663</v>
      </c>
    </row>
    <row r="412" spans="1:11" x14ac:dyDescent="0.2">
      <c r="A412" s="7"/>
      <c r="B412" s="150"/>
      <c r="C412" s="150"/>
      <c r="D412" s="114">
        <v>24</v>
      </c>
      <c r="E412" s="152">
        <v>21.2</v>
      </c>
      <c r="F412" s="116">
        <f t="shared" si="51"/>
        <v>114.5945945945946</v>
      </c>
      <c r="G412" s="153">
        <f t="shared" si="48"/>
        <v>-14.594594594594597</v>
      </c>
      <c r="H412" s="154">
        <f t="shared" si="49"/>
        <v>0</v>
      </c>
      <c r="I412" s="155">
        <v>2</v>
      </c>
      <c r="J412" s="155">
        <v>0</v>
      </c>
      <c r="K412" s="156">
        <f t="shared" si="50"/>
        <v>0.66666666666666663</v>
      </c>
    </row>
    <row r="413" spans="1:11" x14ac:dyDescent="0.2">
      <c r="A413" s="7"/>
      <c r="B413" s="150"/>
      <c r="C413" s="150"/>
      <c r="D413" s="129">
        <v>26</v>
      </c>
      <c r="E413" s="264">
        <v>21.1</v>
      </c>
      <c r="F413" s="116">
        <f t="shared" si="51"/>
        <v>114.05405405405406</v>
      </c>
      <c r="G413" s="153">
        <f t="shared" si="48"/>
        <v>-14.054054054054063</v>
      </c>
      <c r="H413" s="154">
        <f t="shared" si="49"/>
        <v>0</v>
      </c>
      <c r="I413" s="155">
        <v>2</v>
      </c>
      <c r="J413" s="155">
        <v>0</v>
      </c>
      <c r="K413" s="156">
        <f t="shared" si="50"/>
        <v>0.66666666666666663</v>
      </c>
    </row>
    <row r="414" spans="1:11" x14ac:dyDescent="0.2">
      <c r="A414" s="7"/>
      <c r="B414" s="150"/>
      <c r="C414" s="150"/>
      <c r="D414" s="129">
        <v>29</v>
      </c>
      <c r="E414" s="264">
        <v>21.5</v>
      </c>
      <c r="F414" s="116">
        <f t="shared" si="51"/>
        <v>116.21621621621621</v>
      </c>
      <c r="G414" s="153">
        <f t="shared" si="48"/>
        <v>-16.21621621621621</v>
      </c>
      <c r="H414" s="154">
        <f t="shared" si="49"/>
        <v>0</v>
      </c>
      <c r="I414" s="155">
        <v>2.5</v>
      </c>
      <c r="J414" s="155">
        <v>0</v>
      </c>
      <c r="K414" s="156">
        <f t="shared" si="50"/>
        <v>0.83333333333333337</v>
      </c>
    </row>
    <row r="415" spans="1:11" x14ac:dyDescent="0.2">
      <c r="A415" s="7"/>
      <c r="B415" s="150"/>
      <c r="C415" s="150" t="s">
        <v>15</v>
      </c>
      <c r="D415" s="108">
        <v>31</v>
      </c>
      <c r="E415" s="152">
        <v>21.9</v>
      </c>
      <c r="F415" s="116">
        <f t="shared" si="51"/>
        <v>118.37837837837837</v>
      </c>
      <c r="G415" s="153">
        <f t="shared" si="48"/>
        <v>-18.378378378378372</v>
      </c>
      <c r="H415" s="154">
        <f t="shared" si="49"/>
        <v>0</v>
      </c>
      <c r="I415" s="155">
        <v>2.5</v>
      </c>
      <c r="J415" s="155">
        <v>0</v>
      </c>
      <c r="K415" s="156">
        <f t="shared" si="50"/>
        <v>0.83333333333333337</v>
      </c>
    </row>
    <row r="416" spans="1:11" x14ac:dyDescent="0.2">
      <c r="B416" s="150"/>
      <c r="C416" s="150"/>
      <c r="D416" s="114">
        <v>33</v>
      </c>
      <c r="E416" s="152">
        <v>22.5</v>
      </c>
      <c r="F416" s="116">
        <f t="shared" si="51"/>
        <v>121.62162162162163</v>
      </c>
      <c r="G416" s="153">
        <f t="shared" si="48"/>
        <v>-21.621621621621628</v>
      </c>
      <c r="H416" s="154">
        <f t="shared" si="49"/>
        <v>0</v>
      </c>
      <c r="I416" s="155">
        <v>1</v>
      </c>
      <c r="J416" s="155">
        <v>0</v>
      </c>
      <c r="K416" s="156">
        <f t="shared" si="50"/>
        <v>0.33333333333333331</v>
      </c>
    </row>
    <row r="417" spans="2:11" x14ac:dyDescent="0.2">
      <c r="B417" s="150"/>
      <c r="C417" s="150" t="s">
        <v>16</v>
      </c>
      <c r="D417" s="114">
        <v>36</v>
      </c>
      <c r="E417" s="152">
        <v>22.1</v>
      </c>
      <c r="F417" s="116">
        <f t="shared" si="51"/>
        <v>119.45945945945947</v>
      </c>
      <c r="G417" s="153">
        <f t="shared" si="48"/>
        <v>-19.459459459459467</v>
      </c>
      <c r="H417" s="154">
        <f t="shared" si="49"/>
        <v>0</v>
      </c>
      <c r="I417" s="155">
        <v>3</v>
      </c>
      <c r="J417" s="155">
        <v>2.5</v>
      </c>
      <c r="K417" s="156">
        <f t="shared" si="50"/>
        <v>1.8333333333333333</v>
      </c>
    </row>
    <row r="418" spans="2:11" x14ac:dyDescent="0.2">
      <c r="B418" s="150"/>
      <c r="C418" s="150"/>
      <c r="D418" s="114">
        <v>38</v>
      </c>
      <c r="E418" s="152">
        <v>21.3</v>
      </c>
      <c r="F418" s="116">
        <f t="shared" si="51"/>
        <v>115.13513513513513</v>
      </c>
      <c r="G418" s="153">
        <f t="shared" si="48"/>
        <v>-15.13513513513513</v>
      </c>
      <c r="H418" s="154">
        <f t="shared" si="49"/>
        <v>0</v>
      </c>
      <c r="I418" s="155">
        <v>3</v>
      </c>
      <c r="J418" s="155">
        <v>0</v>
      </c>
      <c r="K418" s="156">
        <f t="shared" ref="K418" si="52">AVERAGE(H418:J418)</f>
        <v>1</v>
      </c>
    </row>
    <row r="419" spans="2:11" x14ac:dyDescent="0.2">
      <c r="B419" s="150"/>
      <c r="C419" s="150"/>
      <c r="D419" s="114">
        <v>40</v>
      </c>
      <c r="E419" s="152"/>
      <c r="F419" s="153">
        <f t="shared" ref="F419:F424" si="53">E419/$E$346*100</f>
        <v>0</v>
      </c>
      <c r="G419" s="153">
        <f t="shared" si="48"/>
        <v>100</v>
      </c>
      <c r="H419" s="154">
        <f t="shared" si="49"/>
        <v>4</v>
      </c>
      <c r="I419" s="155"/>
      <c r="J419" s="155"/>
      <c r="K419" s="156"/>
    </row>
    <row r="420" spans="2:11" x14ac:dyDescent="0.2">
      <c r="B420" s="150"/>
      <c r="C420" s="150" t="s">
        <v>15</v>
      </c>
      <c r="D420" s="114">
        <v>43</v>
      </c>
      <c r="E420" s="264"/>
      <c r="F420" s="153">
        <f t="shared" si="53"/>
        <v>0</v>
      </c>
      <c r="G420" s="153">
        <f t="shared" si="48"/>
        <v>100</v>
      </c>
      <c r="H420" s="154">
        <f t="shared" si="49"/>
        <v>4</v>
      </c>
      <c r="I420" s="155"/>
      <c r="J420" s="155"/>
      <c r="K420" s="156">
        <f t="shared" ref="K420:K423" si="54">AVERAGE(H420:J420)</f>
        <v>4</v>
      </c>
    </row>
    <row r="421" spans="2:11" x14ac:dyDescent="0.2">
      <c r="B421" s="150"/>
      <c r="C421" s="150"/>
      <c r="D421" s="114">
        <v>45</v>
      </c>
      <c r="E421" s="152"/>
      <c r="F421" s="153">
        <f t="shared" si="53"/>
        <v>0</v>
      </c>
      <c r="G421" s="153">
        <f t="shared" si="48"/>
        <v>100</v>
      </c>
      <c r="H421" s="154">
        <f t="shared" si="49"/>
        <v>4</v>
      </c>
      <c r="I421" s="155"/>
      <c r="J421" s="155"/>
      <c r="K421" s="156">
        <f t="shared" si="54"/>
        <v>4</v>
      </c>
    </row>
    <row r="422" spans="2:11" x14ac:dyDescent="0.2">
      <c r="B422" s="150"/>
      <c r="C422" s="150"/>
      <c r="D422" s="129">
        <v>47</v>
      </c>
      <c r="E422" s="152"/>
      <c r="F422" s="153">
        <f t="shared" si="53"/>
        <v>0</v>
      </c>
      <c r="G422" s="153">
        <f t="shared" si="48"/>
        <v>100</v>
      </c>
      <c r="H422" s="154">
        <f t="shared" si="49"/>
        <v>4</v>
      </c>
      <c r="I422" s="155"/>
      <c r="J422" s="155"/>
      <c r="K422" s="156">
        <f t="shared" si="54"/>
        <v>4</v>
      </c>
    </row>
    <row r="423" spans="2:11" x14ac:dyDescent="0.2">
      <c r="B423" s="150"/>
      <c r="C423" s="150" t="s">
        <v>16</v>
      </c>
      <c r="D423" s="151">
        <v>50</v>
      </c>
      <c r="E423" s="152"/>
      <c r="F423" s="153">
        <f t="shared" si="53"/>
        <v>0</v>
      </c>
      <c r="G423" s="153">
        <f t="shared" si="48"/>
        <v>100</v>
      </c>
      <c r="H423" s="154">
        <f t="shared" si="49"/>
        <v>4</v>
      </c>
      <c r="I423" s="155"/>
      <c r="J423" s="155"/>
      <c r="K423" s="156">
        <f t="shared" si="54"/>
        <v>4</v>
      </c>
    </row>
    <row r="424" spans="2:11" x14ac:dyDescent="0.2">
      <c r="B424" s="317"/>
      <c r="C424" s="317"/>
      <c r="D424" s="318">
        <v>52</v>
      </c>
      <c r="E424" s="319"/>
      <c r="F424" s="320">
        <f t="shared" si="53"/>
        <v>0</v>
      </c>
      <c r="G424" s="320">
        <f t="shared" si="48"/>
        <v>100</v>
      </c>
      <c r="H424" s="321">
        <f t="shared" si="49"/>
        <v>4</v>
      </c>
      <c r="I424" s="322"/>
      <c r="J424" s="322"/>
      <c r="K424" s="323"/>
    </row>
    <row r="425" spans="2:11" x14ac:dyDescent="0.2">
      <c r="B425" s="317"/>
      <c r="C425" s="317"/>
      <c r="D425" s="129">
        <v>54</v>
      </c>
      <c r="E425" s="319"/>
      <c r="F425" s="320"/>
      <c r="G425" s="320"/>
      <c r="H425" s="321"/>
      <c r="I425" s="322"/>
      <c r="J425" s="322"/>
      <c r="K425" s="323"/>
    </row>
    <row r="426" spans="2:11" x14ac:dyDescent="0.2">
      <c r="B426" s="317"/>
      <c r="C426" s="317"/>
      <c r="D426" s="129">
        <v>57</v>
      </c>
      <c r="E426" s="319"/>
      <c r="F426" s="320"/>
      <c r="G426" s="320"/>
      <c r="H426" s="321"/>
      <c r="I426" s="322"/>
      <c r="J426" s="322"/>
      <c r="K426" s="323"/>
    </row>
    <row r="427" spans="2:11" x14ac:dyDescent="0.2">
      <c r="B427" s="317"/>
      <c r="C427" s="317"/>
      <c r="D427" s="129">
        <v>59</v>
      </c>
      <c r="E427" s="319"/>
      <c r="F427" s="320"/>
      <c r="G427" s="320"/>
      <c r="H427" s="321"/>
      <c r="I427" s="322"/>
      <c r="J427" s="322"/>
      <c r="K427" s="323"/>
    </row>
    <row r="428" spans="2:11" x14ac:dyDescent="0.2">
      <c r="B428" s="317"/>
      <c r="C428" s="317"/>
      <c r="D428" s="129">
        <v>61</v>
      </c>
      <c r="E428" s="319"/>
      <c r="F428" s="320"/>
      <c r="G428" s="320"/>
      <c r="H428" s="321"/>
      <c r="I428" s="322"/>
      <c r="J428" s="322"/>
      <c r="K428" s="323"/>
    </row>
    <row r="429" spans="2:11" ht="17" thickBot="1" x14ac:dyDescent="0.25">
      <c r="B429" s="351"/>
      <c r="C429" s="351"/>
      <c r="D429" s="140">
        <v>64</v>
      </c>
      <c r="E429" s="352"/>
      <c r="F429" s="353"/>
      <c r="G429" s="353"/>
      <c r="H429" s="354"/>
      <c r="I429" s="355"/>
      <c r="J429" s="355"/>
      <c r="K429" s="292"/>
    </row>
    <row r="434" spans="1:11" x14ac:dyDescent="0.2">
      <c r="A434" s="333" t="s">
        <v>25</v>
      </c>
      <c r="B434" s="158" t="s">
        <v>0</v>
      </c>
      <c r="C434" s="158" t="s">
        <v>21</v>
      </c>
      <c r="D434" s="159">
        <v>1</v>
      </c>
      <c r="E434" s="344">
        <v>22.3</v>
      </c>
      <c r="F434" s="345">
        <v>100</v>
      </c>
      <c r="G434" s="161">
        <f t="shared" ref="G434:G497" si="55">100-F434</f>
        <v>0</v>
      </c>
      <c r="H434" s="162">
        <f t="shared" ref="H434:H447" si="56">IF(G434&lt;=1, 0, IF(AND(G434&gt;1, G434&lt;=5), 1, IF(AND(G434&gt;5, G434&lt;=10), 2, IF(AND(G434&gt;10, G434&lt;=15), 3, 4))))</f>
        <v>0</v>
      </c>
      <c r="I434" s="163">
        <v>0</v>
      </c>
      <c r="J434" s="163">
        <v>0</v>
      </c>
      <c r="K434" s="162">
        <f t="shared" ref="K434:K497" si="57">AVERAGE(H434:J434)</f>
        <v>0</v>
      </c>
    </row>
    <row r="435" spans="1:11" x14ac:dyDescent="0.2">
      <c r="B435" s="164"/>
      <c r="C435" s="164"/>
      <c r="D435" s="165">
        <v>3</v>
      </c>
      <c r="E435" s="346">
        <v>21</v>
      </c>
      <c r="F435" s="167">
        <f t="shared" ref="F435:F461" si="58">E435/$E$434*100</f>
        <v>94.170403587443943</v>
      </c>
      <c r="G435" s="167">
        <f t="shared" si="55"/>
        <v>5.8295964125560573</v>
      </c>
      <c r="H435" s="168">
        <f t="shared" si="56"/>
        <v>2</v>
      </c>
      <c r="I435" s="169">
        <v>2</v>
      </c>
      <c r="J435" s="163">
        <v>0</v>
      </c>
      <c r="K435" s="168">
        <f t="shared" si="57"/>
        <v>1.3333333333333333</v>
      </c>
    </row>
    <row r="436" spans="1:11" x14ac:dyDescent="0.2">
      <c r="B436" s="164"/>
      <c r="C436" s="164"/>
      <c r="D436" s="165">
        <v>5</v>
      </c>
      <c r="E436" s="166">
        <v>23.4</v>
      </c>
      <c r="F436" s="167">
        <f t="shared" si="58"/>
        <v>104.93273542600896</v>
      </c>
      <c r="G436" s="167">
        <f t="shared" si="55"/>
        <v>-4.9327354260089606</v>
      </c>
      <c r="H436" s="168">
        <f t="shared" si="56"/>
        <v>0</v>
      </c>
      <c r="I436" s="169">
        <v>2</v>
      </c>
      <c r="J436" s="163">
        <v>0</v>
      </c>
      <c r="K436" s="168">
        <f t="shared" si="57"/>
        <v>0.66666666666666663</v>
      </c>
    </row>
    <row r="437" spans="1:11" x14ac:dyDescent="0.2">
      <c r="B437" s="164"/>
      <c r="C437" s="164"/>
      <c r="D437" s="165">
        <v>8</v>
      </c>
      <c r="E437" s="170">
        <v>23.7</v>
      </c>
      <c r="F437" s="167">
        <f t="shared" si="58"/>
        <v>106.27802690582959</v>
      </c>
      <c r="G437" s="167">
        <f t="shared" si="55"/>
        <v>-6.2780269058295914</v>
      </c>
      <c r="H437" s="168">
        <f t="shared" si="56"/>
        <v>0</v>
      </c>
      <c r="I437" s="169">
        <v>2.5</v>
      </c>
      <c r="J437" s="163">
        <v>0</v>
      </c>
      <c r="K437" s="162">
        <f t="shared" si="57"/>
        <v>0.83333333333333337</v>
      </c>
    </row>
    <row r="438" spans="1:11" x14ac:dyDescent="0.2">
      <c r="B438" s="164"/>
      <c r="C438" s="164"/>
      <c r="D438" s="165">
        <v>10</v>
      </c>
      <c r="E438" s="170">
        <v>24.8</v>
      </c>
      <c r="F438" s="167">
        <f t="shared" si="58"/>
        <v>111.21076233183858</v>
      </c>
      <c r="G438" s="167">
        <f t="shared" si="55"/>
        <v>-11.210762331838581</v>
      </c>
      <c r="H438" s="168">
        <f t="shared" si="56"/>
        <v>0</v>
      </c>
      <c r="I438" s="169">
        <v>4</v>
      </c>
      <c r="J438" s="163">
        <v>0</v>
      </c>
      <c r="K438" s="162">
        <f t="shared" si="57"/>
        <v>1.3333333333333333</v>
      </c>
    </row>
    <row r="439" spans="1:11" x14ac:dyDescent="0.2">
      <c r="B439" s="164"/>
      <c r="C439" s="164"/>
      <c r="D439" s="165">
        <v>12</v>
      </c>
      <c r="E439" s="170">
        <v>23.9</v>
      </c>
      <c r="F439" s="167">
        <f t="shared" si="58"/>
        <v>107.17488789237667</v>
      </c>
      <c r="G439" s="167">
        <f t="shared" si="55"/>
        <v>-7.1748878923766739</v>
      </c>
      <c r="H439" s="168">
        <f t="shared" si="56"/>
        <v>0</v>
      </c>
      <c r="I439" s="169">
        <v>4</v>
      </c>
      <c r="J439" s="163">
        <v>0</v>
      </c>
      <c r="K439" s="162">
        <f t="shared" si="57"/>
        <v>1.3333333333333333</v>
      </c>
    </row>
    <row r="440" spans="1:11" x14ac:dyDescent="0.2">
      <c r="B440" s="171"/>
      <c r="C440" s="171" t="s">
        <v>4</v>
      </c>
      <c r="D440" s="172">
        <v>15</v>
      </c>
      <c r="E440" s="170">
        <v>25.7</v>
      </c>
      <c r="F440" s="167">
        <f t="shared" si="58"/>
        <v>115.24663677130044</v>
      </c>
      <c r="G440" s="173">
        <f t="shared" si="55"/>
        <v>-15.246636771300444</v>
      </c>
      <c r="H440" s="174">
        <f t="shared" si="56"/>
        <v>0</v>
      </c>
      <c r="I440" s="175">
        <v>3.5</v>
      </c>
      <c r="J440" s="163">
        <v>0</v>
      </c>
      <c r="K440" s="162">
        <f t="shared" si="57"/>
        <v>1.1666666666666667</v>
      </c>
    </row>
    <row r="441" spans="1:11" x14ac:dyDescent="0.2">
      <c r="B441" s="164"/>
      <c r="C441" s="164" t="s">
        <v>3</v>
      </c>
      <c r="D441" s="165">
        <v>17</v>
      </c>
      <c r="E441" s="176">
        <v>25.1</v>
      </c>
      <c r="F441" s="167">
        <f t="shared" si="58"/>
        <v>112.55605381165918</v>
      </c>
      <c r="G441" s="167">
        <f t="shared" si="55"/>
        <v>-12.556053811659183</v>
      </c>
      <c r="H441" s="168">
        <f t="shared" si="56"/>
        <v>0</v>
      </c>
      <c r="I441" s="169">
        <v>2</v>
      </c>
      <c r="J441" s="163">
        <v>0</v>
      </c>
      <c r="K441" s="177">
        <f t="shared" si="57"/>
        <v>0.66666666666666663</v>
      </c>
    </row>
    <row r="442" spans="1:11" x14ac:dyDescent="0.2">
      <c r="B442" s="164"/>
      <c r="C442" s="164"/>
      <c r="D442" s="165">
        <v>19</v>
      </c>
      <c r="E442" s="176">
        <v>25.2</v>
      </c>
      <c r="F442" s="167">
        <f t="shared" si="58"/>
        <v>113.00448430493273</v>
      </c>
      <c r="G442" s="167">
        <f t="shared" si="55"/>
        <v>-13.004484304932731</v>
      </c>
      <c r="H442" s="168">
        <f t="shared" si="56"/>
        <v>0</v>
      </c>
      <c r="I442" s="169">
        <v>3.5</v>
      </c>
      <c r="J442" s="163">
        <v>0</v>
      </c>
      <c r="K442" s="177">
        <f t="shared" si="57"/>
        <v>1.1666666666666667</v>
      </c>
    </row>
    <row r="443" spans="1:11" x14ac:dyDescent="0.2">
      <c r="B443" s="164"/>
      <c r="C443" s="164"/>
      <c r="D443" s="165">
        <v>22</v>
      </c>
      <c r="E443" s="176">
        <v>24.4</v>
      </c>
      <c r="F443" s="167">
        <f t="shared" si="58"/>
        <v>109.41704035874437</v>
      </c>
      <c r="G443" s="167">
        <f t="shared" si="55"/>
        <v>-9.417040358744373</v>
      </c>
      <c r="H443" s="168">
        <f t="shared" si="56"/>
        <v>0</v>
      </c>
      <c r="I443" s="169">
        <v>2</v>
      </c>
      <c r="J443" s="163">
        <v>0</v>
      </c>
      <c r="K443" s="178">
        <f t="shared" si="57"/>
        <v>0.66666666666666663</v>
      </c>
    </row>
    <row r="444" spans="1:11" x14ac:dyDescent="0.2">
      <c r="B444" s="164"/>
      <c r="C444" s="164"/>
      <c r="D444" s="165">
        <v>24</v>
      </c>
      <c r="E444" s="176">
        <v>24.5</v>
      </c>
      <c r="F444" s="167">
        <f t="shared" si="58"/>
        <v>109.86547085201795</v>
      </c>
      <c r="G444" s="167">
        <f t="shared" si="55"/>
        <v>-9.8654708520179497</v>
      </c>
      <c r="H444" s="168">
        <f t="shared" si="56"/>
        <v>0</v>
      </c>
      <c r="I444" s="169">
        <v>1.5</v>
      </c>
      <c r="J444" s="163">
        <v>0</v>
      </c>
      <c r="K444" s="178">
        <f t="shared" si="57"/>
        <v>0.5</v>
      </c>
    </row>
    <row r="445" spans="1:11" x14ac:dyDescent="0.2">
      <c r="B445" s="179"/>
      <c r="C445" s="179"/>
      <c r="D445" s="180">
        <v>26</v>
      </c>
      <c r="E445" s="181">
        <v>24.7</v>
      </c>
      <c r="F445" s="167">
        <f t="shared" si="58"/>
        <v>110.762331838565</v>
      </c>
      <c r="G445" s="182">
        <f t="shared" si="55"/>
        <v>-10.762331838565004</v>
      </c>
      <c r="H445" s="183">
        <f t="shared" si="56"/>
        <v>0</v>
      </c>
      <c r="I445" s="184">
        <v>1.5</v>
      </c>
      <c r="J445" s="163">
        <v>0</v>
      </c>
      <c r="K445" s="178">
        <f t="shared" si="57"/>
        <v>0.5</v>
      </c>
    </row>
    <row r="446" spans="1:11" x14ac:dyDescent="0.2">
      <c r="B446" s="179"/>
      <c r="C446" s="179"/>
      <c r="D446" s="180">
        <v>29</v>
      </c>
      <c r="E446" s="181">
        <v>24.8</v>
      </c>
      <c r="F446" s="167">
        <f t="shared" si="58"/>
        <v>111.21076233183858</v>
      </c>
      <c r="G446" s="182">
        <f t="shared" si="55"/>
        <v>-11.210762331838581</v>
      </c>
      <c r="H446" s="183">
        <f t="shared" si="56"/>
        <v>0</v>
      </c>
      <c r="I446" s="184">
        <v>1</v>
      </c>
      <c r="J446" s="163">
        <v>0</v>
      </c>
      <c r="K446" s="178">
        <f t="shared" si="57"/>
        <v>0.33333333333333331</v>
      </c>
    </row>
    <row r="447" spans="1:11" x14ac:dyDescent="0.2">
      <c r="B447" s="158"/>
      <c r="C447" s="158" t="s">
        <v>15</v>
      </c>
      <c r="D447" s="159">
        <v>31</v>
      </c>
      <c r="E447" s="185">
        <v>25.6</v>
      </c>
      <c r="F447" s="167">
        <f t="shared" si="58"/>
        <v>114.79820627802691</v>
      </c>
      <c r="G447" s="161">
        <f t="shared" si="55"/>
        <v>-14.79820627802691</v>
      </c>
      <c r="H447" s="162">
        <f t="shared" si="56"/>
        <v>0</v>
      </c>
      <c r="I447" s="163">
        <v>1.5</v>
      </c>
      <c r="J447" s="163">
        <v>0</v>
      </c>
      <c r="K447" s="178">
        <f t="shared" si="57"/>
        <v>0.5</v>
      </c>
    </row>
    <row r="448" spans="1:11" x14ac:dyDescent="0.2">
      <c r="B448" s="164"/>
      <c r="C448" s="164"/>
      <c r="D448" s="165">
        <v>33</v>
      </c>
      <c r="E448" s="269">
        <v>25.1</v>
      </c>
      <c r="F448" s="167">
        <f t="shared" si="58"/>
        <v>112.55605381165918</v>
      </c>
      <c r="G448" s="167">
        <f t="shared" si="55"/>
        <v>-12.556053811659183</v>
      </c>
      <c r="H448" s="168">
        <f>IF(G448&lt;=1, 0, IF(AND(G448&gt;1, G448&lt;=5), 1, IF(AND(G448&gt;5, G448&lt;=10), 2, IF(AND(G448&gt;10, G448&lt;=15), 3, 4))))</f>
        <v>0</v>
      </c>
      <c r="I448" s="163">
        <v>3</v>
      </c>
      <c r="J448" s="163">
        <v>0.5</v>
      </c>
      <c r="K448" s="178">
        <f t="shared" si="57"/>
        <v>1.1666666666666667</v>
      </c>
    </row>
    <row r="449" spans="1:11" x14ac:dyDescent="0.2">
      <c r="B449" s="164"/>
      <c r="C449" s="164" t="s">
        <v>16</v>
      </c>
      <c r="D449" s="165">
        <v>36</v>
      </c>
      <c r="E449" s="176">
        <v>25.8</v>
      </c>
      <c r="F449" s="167">
        <f t="shared" si="58"/>
        <v>115.69506726457399</v>
      </c>
      <c r="G449" s="167">
        <f t="shared" si="55"/>
        <v>-15.695067264573993</v>
      </c>
      <c r="H449" s="168">
        <f t="shared" ref="H449:H512" si="59">IF(G449&lt;=1, 0, IF(AND(G449&gt;1, G449&lt;=5), 1, IF(AND(G449&gt;5, G449&lt;=10), 2, IF(AND(G449&gt;10, G449&lt;=15), 3, 4))))</f>
        <v>0</v>
      </c>
      <c r="I449" s="163">
        <v>2</v>
      </c>
      <c r="J449" s="163">
        <v>4</v>
      </c>
      <c r="K449" s="186">
        <f t="shared" si="57"/>
        <v>2</v>
      </c>
    </row>
    <row r="450" spans="1:11" x14ac:dyDescent="0.2">
      <c r="B450" s="164"/>
      <c r="C450" s="164"/>
      <c r="D450" s="165">
        <v>38</v>
      </c>
      <c r="E450" s="176">
        <v>24.4</v>
      </c>
      <c r="F450" s="167">
        <f t="shared" si="58"/>
        <v>109.41704035874437</v>
      </c>
      <c r="G450" s="167">
        <f t="shared" si="55"/>
        <v>-9.417040358744373</v>
      </c>
      <c r="H450" s="168">
        <f t="shared" si="59"/>
        <v>0</v>
      </c>
      <c r="I450" s="163">
        <v>4</v>
      </c>
      <c r="J450" s="163">
        <v>0</v>
      </c>
      <c r="K450" s="178">
        <f t="shared" si="57"/>
        <v>1.3333333333333333</v>
      </c>
    </row>
    <row r="451" spans="1:11" x14ac:dyDescent="0.2">
      <c r="B451" s="164"/>
      <c r="C451" s="164"/>
      <c r="D451" s="165">
        <v>40</v>
      </c>
      <c r="E451" s="176"/>
      <c r="F451" s="167">
        <f t="shared" si="58"/>
        <v>0</v>
      </c>
      <c r="G451" s="167">
        <f t="shared" si="55"/>
        <v>100</v>
      </c>
      <c r="H451" s="168">
        <f t="shared" si="59"/>
        <v>4</v>
      </c>
      <c r="I451" s="163"/>
      <c r="J451" s="163"/>
      <c r="K451" s="178">
        <f t="shared" si="57"/>
        <v>4</v>
      </c>
    </row>
    <row r="452" spans="1:11" x14ac:dyDescent="0.2">
      <c r="B452" s="164"/>
      <c r="C452" s="164" t="s">
        <v>15</v>
      </c>
      <c r="D452" s="165">
        <v>43</v>
      </c>
      <c r="E452" s="176"/>
      <c r="F452" s="167">
        <f t="shared" si="58"/>
        <v>0</v>
      </c>
      <c r="G452" s="167">
        <f t="shared" si="55"/>
        <v>100</v>
      </c>
      <c r="H452" s="168">
        <f t="shared" si="59"/>
        <v>4</v>
      </c>
      <c r="I452" s="163"/>
      <c r="J452" s="163"/>
      <c r="K452" s="178">
        <f t="shared" si="57"/>
        <v>4</v>
      </c>
    </row>
    <row r="453" spans="1:11" x14ac:dyDescent="0.2">
      <c r="B453" s="164"/>
      <c r="C453" s="164"/>
      <c r="D453" s="165">
        <v>45</v>
      </c>
      <c r="E453" s="176"/>
      <c r="F453" s="167">
        <f t="shared" si="58"/>
        <v>0</v>
      </c>
      <c r="G453" s="167">
        <f t="shared" si="55"/>
        <v>100</v>
      </c>
      <c r="H453" s="168">
        <f t="shared" si="59"/>
        <v>4</v>
      </c>
      <c r="I453" s="163"/>
      <c r="J453" s="163"/>
      <c r="K453" s="178">
        <f t="shared" si="57"/>
        <v>4</v>
      </c>
    </row>
    <row r="454" spans="1:11" x14ac:dyDescent="0.2">
      <c r="B454" s="179"/>
      <c r="C454" s="179"/>
      <c r="D454" s="180">
        <v>47</v>
      </c>
      <c r="E454" s="181"/>
      <c r="F454" s="182">
        <f t="shared" si="58"/>
        <v>0</v>
      </c>
      <c r="G454" s="182">
        <f t="shared" si="55"/>
        <v>100</v>
      </c>
      <c r="H454" s="183">
        <f t="shared" si="59"/>
        <v>4</v>
      </c>
      <c r="I454" s="187"/>
      <c r="J454" s="163"/>
      <c r="K454" s="178">
        <f t="shared" si="57"/>
        <v>4</v>
      </c>
    </row>
    <row r="455" spans="1:11" x14ac:dyDescent="0.2">
      <c r="B455" s="179"/>
      <c r="C455" s="179" t="s">
        <v>16</v>
      </c>
      <c r="D455" s="180">
        <v>50</v>
      </c>
      <c r="E455" s="181"/>
      <c r="F455" s="182">
        <f t="shared" si="58"/>
        <v>0</v>
      </c>
      <c r="G455" s="182">
        <f t="shared" si="55"/>
        <v>100</v>
      </c>
      <c r="H455" s="183">
        <f t="shared" si="59"/>
        <v>4</v>
      </c>
      <c r="I455" s="188"/>
      <c r="J455" s="163"/>
      <c r="K455" s="178">
        <f t="shared" si="57"/>
        <v>4</v>
      </c>
    </row>
    <row r="456" spans="1:11" x14ac:dyDescent="0.2">
      <c r="B456" s="179"/>
      <c r="C456" s="179"/>
      <c r="D456" s="180">
        <v>52</v>
      </c>
      <c r="E456" s="181"/>
      <c r="F456" s="182">
        <f t="shared" si="58"/>
        <v>0</v>
      </c>
      <c r="G456" s="182">
        <f t="shared" si="55"/>
        <v>100</v>
      </c>
      <c r="H456" s="183">
        <f t="shared" si="59"/>
        <v>4</v>
      </c>
      <c r="I456" s="188"/>
      <c r="J456" s="163"/>
      <c r="K456" s="178">
        <f t="shared" si="57"/>
        <v>4</v>
      </c>
    </row>
    <row r="457" spans="1:11" x14ac:dyDescent="0.2">
      <c r="B457" s="179"/>
      <c r="C457" s="179"/>
      <c r="D457" s="180">
        <v>54</v>
      </c>
      <c r="E457" s="181"/>
      <c r="F457" s="182">
        <f t="shared" si="58"/>
        <v>0</v>
      </c>
      <c r="G457" s="182">
        <f t="shared" si="55"/>
        <v>100</v>
      </c>
      <c r="H457" s="183">
        <f t="shared" si="59"/>
        <v>4</v>
      </c>
      <c r="I457" s="188"/>
      <c r="J457" s="163"/>
      <c r="K457" s="178">
        <f t="shared" si="57"/>
        <v>4</v>
      </c>
    </row>
    <row r="458" spans="1:11" x14ac:dyDescent="0.2">
      <c r="B458" s="179"/>
      <c r="C458" s="179" t="s">
        <v>15</v>
      </c>
      <c r="D458" s="180">
        <v>57</v>
      </c>
      <c r="E458" s="181"/>
      <c r="F458" s="182">
        <f t="shared" si="58"/>
        <v>0</v>
      </c>
      <c r="G458" s="182">
        <f t="shared" si="55"/>
        <v>100</v>
      </c>
      <c r="H458" s="183">
        <f t="shared" si="59"/>
        <v>4</v>
      </c>
      <c r="I458" s="188"/>
      <c r="J458" s="163"/>
      <c r="K458" s="178">
        <f t="shared" si="57"/>
        <v>4</v>
      </c>
    </row>
    <row r="459" spans="1:11" x14ac:dyDescent="0.2">
      <c r="B459" s="179"/>
      <c r="C459" s="179"/>
      <c r="D459" s="180">
        <v>59</v>
      </c>
      <c r="E459" s="307"/>
      <c r="F459" s="182">
        <f t="shared" si="58"/>
        <v>0</v>
      </c>
      <c r="G459" s="182">
        <f t="shared" si="55"/>
        <v>100</v>
      </c>
      <c r="H459" s="183">
        <f t="shared" si="59"/>
        <v>4</v>
      </c>
      <c r="I459" s="188"/>
      <c r="J459" s="163"/>
      <c r="K459" s="178">
        <f t="shared" si="57"/>
        <v>4</v>
      </c>
    </row>
    <row r="460" spans="1:11" x14ac:dyDescent="0.2">
      <c r="B460" s="179"/>
      <c r="C460" s="179"/>
      <c r="D460" s="180">
        <v>61</v>
      </c>
      <c r="E460" s="181"/>
      <c r="F460" s="182">
        <f t="shared" si="58"/>
        <v>0</v>
      </c>
      <c r="G460" s="182">
        <f t="shared" si="55"/>
        <v>100</v>
      </c>
      <c r="H460" s="183">
        <f t="shared" si="59"/>
        <v>4</v>
      </c>
      <c r="I460" s="188"/>
      <c r="J460" s="163"/>
      <c r="K460" s="178">
        <f t="shared" si="57"/>
        <v>4</v>
      </c>
    </row>
    <row r="461" spans="1:11" ht="17" thickBot="1" x14ac:dyDescent="0.25">
      <c r="B461" s="190"/>
      <c r="C461" s="190"/>
      <c r="D461" s="191">
        <v>64</v>
      </c>
      <c r="E461" s="192"/>
      <c r="F461" s="193">
        <f t="shared" si="58"/>
        <v>0</v>
      </c>
      <c r="G461" s="193">
        <f t="shared" si="55"/>
        <v>100</v>
      </c>
      <c r="H461" s="194">
        <f t="shared" si="59"/>
        <v>4</v>
      </c>
      <c r="I461" s="295"/>
      <c r="J461" s="296"/>
      <c r="K461" s="195">
        <f t="shared" si="57"/>
        <v>4</v>
      </c>
    </row>
    <row r="462" spans="1:11" x14ac:dyDescent="0.2">
      <c r="A462" s="333" t="s">
        <v>25</v>
      </c>
      <c r="B462" s="158" t="s">
        <v>1</v>
      </c>
      <c r="C462" s="158" t="s">
        <v>21</v>
      </c>
      <c r="D462" s="159">
        <v>1</v>
      </c>
      <c r="E462" s="160">
        <v>20.100000000000001</v>
      </c>
      <c r="F462" s="161">
        <v>100</v>
      </c>
      <c r="G462" s="161">
        <f t="shared" si="55"/>
        <v>0</v>
      </c>
      <c r="H462" s="162">
        <f t="shared" si="59"/>
        <v>0</v>
      </c>
      <c r="I462" s="163">
        <v>0</v>
      </c>
      <c r="J462" s="163">
        <v>0</v>
      </c>
      <c r="K462" s="162">
        <f t="shared" si="57"/>
        <v>0</v>
      </c>
    </row>
    <row r="463" spans="1:11" x14ac:dyDescent="0.2">
      <c r="B463" s="164"/>
      <c r="C463" s="164"/>
      <c r="D463" s="165">
        <v>3</v>
      </c>
      <c r="E463" s="166">
        <v>18.2</v>
      </c>
      <c r="F463" s="167">
        <f t="shared" ref="F463:F489" si="60">E463/$E$462*100</f>
        <v>90.547263681592028</v>
      </c>
      <c r="G463" s="167">
        <f t="shared" si="55"/>
        <v>9.4527363184079718</v>
      </c>
      <c r="H463" s="168">
        <f t="shared" si="59"/>
        <v>2</v>
      </c>
      <c r="I463" s="169">
        <v>2.5</v>
      </c>
      <c r="J463" s="163">
        <v>0</v>
      </c>
      <c r="K463" s="168">
        <f t="shared" si="57"/>
        <v>1.5</v>
      </c>
    </row>
    <row r="464" spans="1:11" x14ac:dyDescent="0.2">
      <c r="B464" s="164"/>
      <c r="C464" s="164"/>
      <c r="D464" s="165">
        <v>5</v>
      </c>
      <c r="E464" s="166">
        <v>16.600000000000001</v>
      </c>
      <c r="F464" s="167">
        <f t="shared" si="60"/>
        <v>82.587064676616919</v>
      </c>
      <c r="G464" s="167">
        <f t="shared" si="55"/>
        <v>17.412935323383081</v>
      </c>
      <c r="H464" s="168">
        <f t="shared" si="59"/>
        <v>4</v>
      </c>
      <c r="I464" s="169">
        <v>2</v>
      </c>
      <c r="J464" s="163">
        <v>0</v>
      </c>
      <c r="K464" s="168">
        <f t="shared" si="57"/>
        <v>2</v>
      </c>
    </row>
    <row r="465" spans="2:11" x14ac:dyDescent="0.2">
      <c r="B465" s="164"/>
      <c r="C465" s="164"/>
      <c r="D465" s="165">
        <v>8</v>
      </c>
      <c r="E465" s="170">
        <v>21</v>
      </c>
      <c r="F465" s="167">
        <f t="shared" si="60"/>
        <v>104.4776119402985</v>
      </c>
      <c r="G465" s="167">
        <f t="shared" si="55"/>
        <v>-4.4776119402985017</v>
      </c>
      <c r="H465" s="168">
        <f t="shared" si="59"/>
        <v>0</v>
      </c>
      <c r="I465" s="169">
        <v>1.5</v>
      </c>
      <c r="J465" s="163">
        <v>0</v>
      </c>
      <c r="K465" s="162">
        <f t="shared" si="57"/>
        <v>0.5</v>
      </c>
    </row>
    <row r="466" spans="2:11" x14ac:dyDescent="0.2">
      <c r="B466" s="164"/>
      <c r="C466" s="164"/>
      <c r="D466" s="165">
        <v>10</v>
      </c>
      <c r="E466" s="170">
        <v>23.3</v>
      </c>
      <c r="F466" s="167">
        <f t="shared" si="60"/>
        <v>115.92039800995025</v>
      </c>
      <c r="G466" s="167">
        <f t="shared" si="55"/>
        <v>-15.920398009950247</v>
      </c>
      <c r="H466" s="168">
        <f t="shared" si="59"/>
        <v>0</v>
      </c>
      <c r="I466" s="169">
        <v>3.5</v>
      </c>
      <c r="J466" s="163">
        <v>0</v>
      </c>
      <c r="K466" s="162">
        <f t="shared" si="57"/>
        <v>1.1666666666666667</v>
      </c>
    </row>
    <row r="467" spans="2:11" x14ac:dyDescent="0.2">
      <c r="B467" s="164"/>
      <c r="C467" s="164"/>
      <c r="D467" s="165">
        <v>12</v>
      </c>
      <c r="E467" s="170">
        <v>22.8</v>
      </c>
      <c r="F467" s="167">
        <f t="shared" si="60"/>
        <v>113.43283582089552</v>
      </c>
      <c r="G467" s="167">
        <f t="shared" si="55"/>
        <v>-13.432835820895519</v>
      </c>
      <c r="H467" s="168">
        <f t="shared" si="59"/>
        <v>0</v>
      </c>
      <c r="I467" s="169">
        <v>3.5</v>
      </c>
      <c r="J467" s="163">
        <v>0</v>
      </c>
      <c r="K467" s="162">
        <f t="shared" si="57"/>
        <v>1.1666666666666667</v>
      </c>
    </row>
    <row r="468" spans="2:11" x14ac:dyDescent="0.2">
      <c r="B468" s="171"/>
      <c r="C468" s="171" t="s">
        <v>4</v>
      </c>
      <c r="D468" s="172">
        <v>15</v>
      </c>
      <c r="E468" s="170">
        <v>23.9</v>
      </c>
      <c r="F468" s="167">
        <f t="shared" si="60"/>
        <v>118.9054726368159</v>
      </c>
      <c r="G468" s="173">
        <f t="shared" si="55"/>
        <v>-18.905472636815901</v>
      </c>
      <c r="H468" s="174">
        <f t="shared" si="59"/>
        <v>0</v>
      </c>
      <c r="I468" s="175">
        <v>3.5</v>
      </c>
      <c r="J468" s="163">
        <v>0</v>
      </c>
      <c r="K468" s="162">
        <f t="shared" si="57"/>
        <v>1.1666666666666667</v>
      </c>
    </row>
    <row r="469" spans="2:11" x14ac:dyDescent="0.2">
      <c r="B469" s="164"/>
      <c r="C469" s="164" t="s">
        <v>3</v>
      </c>
      <c r="D469" s="165">
        <v>17</v>
      </c>
      <c r="E469" s="176">
        <v>22.6</v>
      </c>
      <c r="F469" s="167">
        <f t="shared" si="60"/>
        <v>112.43781094527363</v>
      </c>
      <c r="G469" s="167">
        <f t="shared" si="55"/>
        <v>-12.437810945273625</v>
      </c>
      <c r="H469" s="168">
        <f t="shared" si="59"/>
        <v>0</v>
      </c>
      <c r="I469" s="169">
        <v>1.5</v>
      </c>
      <c r="J469" s="163">
        <v>0</v>
      </c>
      <c r="K469" s="177">
        <f t="shared" si="57"/>
        <v>0.5</v>
      </c>
    </row>
    <row r="470" spans="2:11" x14ac:dyDescent="0.2">
      <c r="B470" s="164"/>
      <c r="C470" s="164"/>
      <c r="D470" s="165">
        <v>19</v>
      </c>
      <c r="E470" s="176">
        <v>22.9</v>
      </c>
      <c r="F470" s="167">
        <f t="shared" si="60"/>
        <v>113.93034825870645</v>
      </c>
      <c r="G470" s="167">
        <f t="shared" si="55"/>
        <v>-13.930348258706445</v>
      </c>
      <c r="H470" s="168">
        <f t="shared" si="59"/>
        <v>0</v>
      </c>
      <c r="I470" s="169">
        <v>2</v>
      </c>
      <c r="J470" s="163">
        <v>0</v>
      </c>
      <c r="K470" s="177">
        <f t="shared" si="57"/>
        <v>0.66666666666666663</v>
      </c>
    </row>
    <row r="471" spans="2:11" x14ac:dyDescent="0.2">
      <c r="B471" s="164"/>
      <c r="C471" s="164"/>
      <c r="D471" s="165">
        <v>22</v>
      </c>
      <c r="E471" s="176">
        <v>25.3</v>
      </c>
      <c r="F471" s="167">
        <f t="shared" si="60"/>
        <v>125.87064676616914</v>
      </c>
      <c r="G471" s="167">
        <f t="shared" si="55"/>
        <v>-25.870646766169145</v>
      </c>
      <c r="H471" s="168">
        <f t="shared" si="59"/>
        <v>0</v>
      </c>
      <c r="I471" s="169">
        <v>2</v>
      </c>
      <c r="J471" s="163">
        <v>0</v>
      </c>
      <c r="K471" s="178">
        <f t="shared" si="57"/>
        <v>0.66666666666666663</v>
      </c>
    </row>
    <row r="472" spans="2:11" x14ac:dyDescent="0.2">
      <c r="B472" s="164"/>
      <c r="C472" s="164"/>
      <c r="D472" s="165">
        <v>24</v>
      </c>
      <c r="E472" s="176">
        <v>25</v>
      </c>
      <c r="F472" s="167">
        <f t="shared" si="60"/>
        <v>124.37810945273631</v>
      </c>
      <c r="G472" s="167">
        <f t="shared" si="55"/>
        <v>-24.378109452736311</v>
      </c>
      <c r="H472" s="168">
        <f t="shared" si="59"/>
        <v>0</v>
      </c>
      <c r="I472" s="169">
        <v>1</v>
      </c>
      <c r="J472" s="163">
        <v>0</v>
      </c>
      <c r="K472" s="178">
        <f t="shared" si="57"/>
        <v>0.33333333333333331</v>
      </c>
    </row>
    <row r="473" spans="2:11" x14ac:dyDescent="0.2">
      <c r="B473" s="179"/>
      <c r="C473" s="179"/>
      <c r="D473" s="180">
        <v>26</v>
      </c>
      <c r="E473" s="181">
        <v>24.4</v>
      </c>
      <c r="F473" s="182">
        <f t="shared" si="60"/>
        <v>121.39303482587063</v>
      </c>
      <c r="G473" s="182">
        <f t="shared" si="55"/>
        <v>-21.393034825870629</v>
      </c>
      <c r="H473" s="183">
        <f t="shared" si="59"/>
        <v>0</v>
      </c>
      <c r="I473" s="184">
        <v>1.5</v>
      </c>
      <c r="J473" s="163">
        <v>0</v>
      </c>
      <c r="K473" s="178">
        <f t="shared" si="57"/>
        <v>0.5</v>
      </c>
    </row>
    <row r="474" spans="2:11" x14ac:dyDescent="0.2">
      <c r="B474" s="179"/>
      <c r="C474" s="179"/>
      <c r="D474" s="180">
        <v>29</v>
      </c>
      <c r="E474" s="181">
        <v>24.5</v>
      </c>
      <c r="F474" s="182">
        <f t="shared" si="60"/>
        <v>121.89054726368158</v>
      </c>
      <c r="G474" s="182">
        <f t="shared" si="55"/>
        <v>-21.890547263681583</v>
      </c>
      <c r="H474" s="183">
        <f t="shared" si="59"/>
        <v>0</v>
      </c>
      <c r="I474" s="184">
        <v>2</v>
      </c>
      <c r="J474" s="163">
        <v>0</v>
      </c>
      <c r="K474" s="178">
        <f t="shared" si="57"/>
        <v>0.66666666666666663</v>
      </c>
    </row>
    <row r="475" spans="2:11" x14ac:dyDescent="0.2">
      <c r="B475" s="158"/>
      <c r="C475" s="158" t="s">
        <v>15</v>
      </c>
      <c r="D475" s="159">
        <v>31</v>
      </c>
      <c r="E475" s="185">
        <v>24.6</v>
      </c>
      <c r="F475" s="161">
        <f t="shared" si="60"/>
        <v>122.38805970149254</v>
      </c>
      <c r="G475" s="161">
        <f>100-F475</f>
        <v>-22.388059701492537</v>
      </c>
      <c r="H475" s="162">
        <f t="shared" si="59"/>
        <v>0</v>
      </c>
      <c r="I475" s="163">
        <v>1.5</v>
      </c>
      <c r="J475" s="163">
        <v>0</v>
      </c>
      <c r="K475" s="178">
        <f t="shared" si="57"/>
        <v>0.5</v>
      </c>
    </row>
    <row r="476" spans="2:11" x14ac:dyDescent="0.2">
      <c r="B476" s="164"/>
      <c r="C476" s="164"/>
      <c r="D476" s="165">
        <v>33</v>
      </c>
      <c r="E476" s="185">
        <v>24.4</v>
      </c>
      <c r="F476" s="167">
        <f t="shared" si="60"/>
        <v>121.39303482587063</v>
      </c>
      <c r="G476" s="167">
        <f t="shared" si="55"/>
        <v>-21.393034825870629</v>
      </c>
      <c r="H476" s="168">
        <f t="shared" si="59"/>
        <v>0</v>
      </c>
      <c r="I476" s="163">
        <v>2</v>
      </c>
      <c r="J476" s="163">
        <v>0</v>
      </c>
      <c r="K476" s="178">
        <f t="shared" si="57"/>
        <v>0.66666666666666663</v>
      </c>
    </row>
    <row r="477" spans="2:11" x14ac:dyDescent="0.2">
      <c r="B477" s="164"/>
      <c r="C477" s="164" t="s">
        <v>16</v>
      </c>
      <c r="D477" s="165">
        <v>36</v>
      </c>
      <c r="E477" s="176">
        <v>24.2</v>
      </c>
      <c r="F477" s="167">
        <f t="shared" si="60"/>
        <v>120.39800995024873</v>
      </c>
      <c r="G477" s="167">
        <f t="shared" si="55"/>
        <v>-20.398009950248735</v>
      </c>
      <c r="H477" s="168">
        <f t="shared" si="59"/>
        <v>0</v>
      </c>
      <c r="I477" s="163">
        <v>1.5</v>
      </c>
      <c r="J477" s="163">
        <v>0.5</v>
      </c>
      <c r="K477" s="186">
        <f t="shared" si="57"/>
        <v>0.66666666666666663</v>
      </c>
    </row>
    <row r="478" spans="2:11" x14ac:dyDescent="0.2">
      <c r="B478" s="164"/>
      <c r="C478" s="164"/>
      <c r="D478" s="165">
        <v>38</v>
      </c>
      <c r="E478" s="176">
        <v>21.8</v>
      </c>
      <c r="F478" s="167">
        <f t="shared" si="60"/>
        <v>108.45771144278606</v>
      </c>
      <c r="G478" s="167">
        <f t="shared" si="55"/>
        <v>-8.4577114427860636</v>
      </c>
      <c r="H478" s="168">
        <f t="shared" si="59"/>
        <v>0</v>
      </c>
      <c r="I478" s="163">
        <v>3.5</v>
      </c>
      <c r="J478" s="163">
        <v>0</v>
      </c>
      <c r="K478" s="178">
        <f t="shared" si="57"/>
        <v>1.1666666666666667</v>
      </c>
    </row>
    <row r="479" spans="2:11" x14ac:dyDescent="0.2">
      <c r="B479" s="164"/>
      <c r="C479" s="164"/>
      <c r="D479" s="165">
        <v>40</v>
      </c>
      <c r="E479" s="176"/>
      <c r="F479" s="167">
        <f t="shared" si="60"/>
        <v>0</v>
      </c>
      <c r="G479" s="167">
        <f t="shared" si="55"/>
        <v>100</v>
      </c>
      <c r="H479" s="168">
        <f t="shared" si="59"/>
        <v>4</v>
      </c>
      <c r="I479" s="163"/>
      <c r="J479" s="163"/>
      <c r="K479" s="178"/>
    </row>
    <row r="480" spans="2:11" x14ac:dyDescent="0.2">
      <c r="B480" s="164"/>
      <c r="C480" s="164" t="s">
        <v>15</v>
      </c>
      <c r="D480" s="165">
        <v>43</v>
      </c>
      <c r="E480" s="176"/>
      <c r="F480" s="167">
        <f t="shared" si="60"/>
        <v>0</v>
      </c>
      <c r="G480" s="167">
        <f t="shared" si="55"/>
        <v>100</v>
      </c>
      <c r="H480" s="168">
        <f t="shared" si="59"/>
        <v>4</v>
      </c>
      <c r="I480" s="163"/>
      <c r="J480" s="163"/>
      <c r="K480" s="178">
        <f t="shared" si="57"/>
        <v>4</v>
      </c>
    </row>
    <row r="481" spans="1:11" x14ac:dyDescent="0.2">
      <c r="B481" s="164"/>
      <c r="C481" s="164"/>
      <c r="D481" s="165">
        <v>45</v>
      </c>
      <c r="E481" s="176"/>
      <c r="F481" s="167">
        <f t="shared" si="60"/>
        <v>0</v>
      </c>
      <c r="G481" s="167">
        <f t="shared" si="55"/>
        <v>100</v>
      </c>
      <c r="H481" s="168">
        <f t="shared" si="59"/>
        <v>4</v>
      </c>
      <c r="I481" s="163"/>
      <c r="J481" s="163"/>
      <c r="K481" s="178">
        <f t="shared" si="57"/>
        <v>4</v>
      </c>
    </row>
    <row r="482" spans="1:11" x14ac:dyDescent="0.2">
      <c r="B482" s="179"/>
      <c r="C482" s="179"/>
      <c r="D482" s="180">
        <v>47</v>
      </c>
      <c r="E482" s="181"/>
      <c r="F482" s="182">
        <f t="shared" si="60"/>
        <v>0</v>
      </c>
      <c r="G482" s="182">
        <f t="shared" si="55"/>
        <v>100</v>
      </c>
      <c r="H482" s="183">
        <f t="shared" si="59"/>
        <v>4</v>
      </c>
      <c r="I482" s="187"/>
      <c r="J482" s="163"/>
      <c r="K482" s="178">
        <f t="shared" si="57"/>
        <v>4</v>
      </c>
    </row>
    <row r="483" spans="1:11" x14ac:dyDescent="0.2">
      <c r="B483" s="179"/>
      <c r="C483" s="179" t="s">
        <v>16</v>
      </c>
      <c r="D483" s="180">
        <v>50</v>
      </c>
      <c r="E483" s="181"/>
      <c r="F483" s="182">
        <f t="shared" si="60"/>
        <v>0</v>
      </c>
      <c r="G483" s="182">
        <f t="shared" si="55"/>
        <v>100</v>
      </c>
      <c r="H483" s="183">
        <f t="shared" si="59"/>
        <v>4</v>
      </c>
      <c r="I483" s="188"/>
      <c r="J483" s="163"/>
      <c r="K483" s="178">
        <f t="shared" si="57"/>
        <v>4</v>
      </c>
    </row>
    <row r="484" spans="1:11" x14ac:dyDescent="0.2">
      <c r="B484" s="179"/>
      <c r="C484" s="179"/>
      <c r="D484" s="180">
        <v>52</v>
      </c>
      <c r="E484" s="181"/>
      <c r="F484" s="182">
        <f t="shared" si="60"/>
        <v>0</v>
      </c>
      <c r="G484" s="182">
        <f t="shared" si="55"/>
        <v>100</v>
      </c>
      <c r="H484" s="183">
        <f t="shared" si="59"/>
        <v>4</v>
      </c>
      <c r="I484" s="188"/>
      <c r="J484" s="163"/>
      <c r="K484" s="178">
        <f t="shared" si="57"/>
        <v>4</v>
      </c>
    </row>
    <row r="485" spans="1:11" x14ac:dyDescent="0.2">
      <c r="B485" s="179"/>
      <c r="C485" s="179"/>
      <c r="D485" s="180">
        <v>54</v>
      </c>
      <c r="E485" s="181"/>
      <c r="F485" s="182">
        <f t="shared" si="60"/>
        <v>0</v>
      </c>
      <c r="G485" s="182">
        <f t="shared" si="55"/>
        <v>100</v>
      </c>
      <c r="H485" s="183">
        <f t="shared" si="59"/>
        <v>4</v>
      </c>
      <c r="I485" s="188"/>
      <c r="J485" s="163"/>
      <c r="K485" s="178"/>
    </row>
    <row r="486" spans="1:11" x14ac:dyDescent="0.2">
      <c r="B486" s="179"/>
      <c r="C486" s="179" t="s">
        <v>15</v>
      </c>
      <c r="D486" s="180">
        <v>57</v>
      </c>
      <c r="E486" s="307"/>
      <c r="F486" s="182">
        <f t="shared" si="60"/>
        <v>0</v>
      </c>
      <c r="G486" s="182">
        <f t="shared" si="55"/>
        <v>100</v>
      </c>
      <c r="H486" s="183">
        <f t="shared" si="59"/>
        <v>4</v>
      </c>
      <c r="I486" s="188"/>
      <c r="J486" s="163"/>
      <c r="K486" s="178">
        <f t="shared" si="57"/>
        <v>4</v>
      </c>
    </row>
    <row r="487" spans="1:11" x14ac:dyDescent="0.2">
      <c r="B487" s="179"/>
      <c r="C487" s="179"/>
      <c r="D487" s="180">
        <v>59</v>
      </c>
      <c r="E487" s="181"/>
      <c r="F487" s="182">
        <f t="shared" si="60"/>
        <v>0</v>
      </c>
      <c r="G487" s="182">
        <f t="shared" si="55"/>
        <v>100</v>
      </c>
      <c r="H487" s="183">
        <f t="shared" si="59"/>
        <v>4</v>
      </c>
      <c r="I487" s="188"/>
      <c r="J487" s="163"/>
      <c r="K487" s="178">
        <f t="shared" si="57"/>
        <v>4</v>
      </c>
    </row>
    <row r="488" spans="1:11" x14ac:dyDescent="0.2">
      <c r="B488" s="179"/>
      <c r="C488" s="179"/>
      <c r="D488" s="180">
        <v>61</v>
      </c>
      <c r="E488" s="181"/>
      <c r="F488" s="182">
        <f t="shared" si="60"/>
        <v>0</v>
      </c>
      <c r="G488" s="182">
        <f t="shared" si="55"/>
        <v>100</v>
      </c>
      <c r="H488" s="183">
        <f t="shared" si="59"/>
        <v>4</v>
      </c>
      <c r="I488" s="188"/>
      <c r="J488" s="163"/>
      <c r="K488" s="178">
        <f t="shared" si="57"/>
        <v>4</v>
      </c>
    </row>
    <row r="489" spans="1:11" ht="17" thickBot="1" x14ac:dyDescent="0.25">
      <c r="B489" s="190"/>
      <c r="C489" s="190"/>
      <c r="D489" s="191">
        <v>64</v>
      </c>
      <c r="E489" s="315"/>
      <c r="F489" s="193">
        <f t="shared" si="60"/>
        <v>0</v>
      </c>
      <c r="G489" s="193">
        <f t="shared" si="55"/>
        <v>100</v>
      </c>
      <c r="H489" s="194">
        <f t="shared" si="59"/>
        <v>4</v>
      </c>
      <c r="I489" s="295"/>
      <c r="J489" s="296"/>
      <c r="K489" s="195">
        <f t="shared" si="57"/>
        <v>4</v>
      </c>
    </row>
    <row r="490" spans="1:11" x14ac:dyDescent="0.2">
      <c r="A490" s="333" t="s">
        <v>25</v>
      </c>
      <c r="B490" s="196" t="s">
        <v>2</v>
      </c>
      <c r="C490" s="197" t="s">
        <v>21</v>
      </c>
      <c r="D490" s="159">
        <v>1</v>
      </c>
      <c r="E490" s="198">
        <v>19.899999999999999</v>
      </c>
      <c r="F490" s="199">
        <v>100</v>
      </c>
      <c r="G490" s="199">
        <f t="shared" si="55"/>
        <v>0</v>
      </c>
      <c r="H490" s="200">
        <f t="shared" si="59"/>
        <v>0</v>
      </c>
      <c r="I490" s="189">
        <v>0</v>
      </c>
      <c r="J490" s="189">
        <v>0</v>
      </c>
      <c r="K490" s="162">
        <f t="shared" si="57"/>
        <v>0</v>
      </c>
    </row>
    <row r="491" spans="1:11" x14ac:dyDescent="0.2">
      <c r="B491" s="201"/>
      <c r="C491" s="201"/>
      <c r="D491" s="165">
        <v>3</v>
      </c>
      <c r="E491" s="203">
        <v>20.399999999999999</v>
      </c>
      <c r="F491" s="167">
        <f t="shared" ref="F491:F517" si="61">E491/$E$490*100</f>
        <v>102.51256281407035</v>
      </c>
      <c r="G491" s="204">
        <f t="shared" si="55"/>
        <v>-2.5125628140703498</v>
      </c>
      <c r="H491" s="205">
        <f t="shared" si="59"/>
        <v>0</v>
      </c>
      <c r="I491" s="206">
        <v>3</v>
      </c>
      <c r="J491" s="206">
        <v>0</v>
      </c>
      <c r="K491" s="162">
        <f t="shared" si="57"/>
        <v>1</v>
      </c>
    </row>
    <row r="492" spans="1:11" x14ac:dyDescent="0.2">
      <c r="B492" s="201"/>
      <c r="C492" s="201"/>
      <c r="D492" s="165">
        <v>5</v>
      </c>
      <c r="E492" s="203">
        <v>17.399999999999999</v>
      </c>
      <c r="F492" s="167">
        <f t="shared" si="61"/>
        <v>87.437185929648237</v>
      </c>
      <c r="G492" s="204">
        <f t="shared" si="55"/>
        <v>12.562814070351763</v>
      </c>
      <c r="H492" s="205">
        <f t="shared" si="59"/>
        <v>3</v>
      </c>
      <c r="I492" s="206">
        <v>1.5</v>
      </c>
      <c r="J492" s="206">
        <v>0</v>
      </c>
      <c r="K492" s="162">
        <f t="shared" si="57"/>
        <v>1.5</v>
      </c>
    </row>
    <row r="493" spans="1:11" x14ac:dyDescent="0.2">
      <c r="B493" s="201"/>
      <c r="C493" s="201"/>
      <c r="D493" s="165">
        <v>8</v>
      </c>
      <c r="E493" s="203">
        <v>21.8</v>
      </c>
      <c r="F493" s="167">
        <f t="shared" si="61"/>
        <v>109.54773869346735</v>
      </c>
      <c r="G493" s="204">
        <f t="shared" si="55"/>
        <v>-9.5477386934673518</v>
      </c>
      <c r="H493" s="205">
        <f t="shared" si="59"/>
        <v>0</v>
      </c>
      <c r="I493" s="206">
        <v>2.5</v>
      </c>
      <c r="J493" s="206">
        <v>0</v>
      </c>
      <c r="K493" s="162">
        <f t="shared" si="57"/>
        <v>0.83333333333333337</v>
      </c>
    </row>
    <row r="494" spans="1:11" x14ac:dyDescent="0.2">
      <c r="B494" s="201"/>
      <c r="C494" s="201"/>
      <c r="D494" s="165">
        <v>10</v>
      </c>
      <c r="E494" s="203">
        <v>22.4</v>
      </c>
      <c r="F494" s="167">
        <f t="shared" si="61"/>
        <v>112.56281407035176</v>
      </c>
      <c r="G494" s="204">
        <f t="shared" si="55"/>
        <v>-12.562814070351763</v>
      </c>
      <c r="H494" s="205">
        <f t="shared" si="59"/>
        <v>0</v>
      </c>
      <c r="I494" s="206">
        <v>2.5</v>
      </c>
      <c r="J494" s="206">
        <v>0</v>
      </c>
      <c r="K494" s="162">
        <f t="shared" si="57"/>
        <v>0.83333333333333337</v>
      </c>
    </row>
    <row r="495" spans="1:11" x14ac:dyDescent="0.2">
      <c r="B495" s="201"/>
      <c r="C495" s="201"/>
      <c r="D495" s="165">
        <v>12</v>
      </c>
      <c r="E495" s="203">
        <v>22.2</v>
      </c>
      <c r="F495" s="167">
        <f t="shared" si="61"/>
        <v>111.55778894472361</v>
      </c>
      <c r="G495" s="204">
        <f t="shared" si="55"/>
        <v>-11.557788944723612</v>
      </c>
      <c r="H495" s="205">
        <f t="shared" si="59"/>
        <v>0</v>
      </c>
      <c r="I495" s="206">
        <v>3.5</v>
      </c>
      <c r="J495" s="206">
        <v>0</v>
      </c>
      <c r="K495" s="162">
        <f t="shared" si="57"/>
        <v>1.1666666666666667</v>
      </c>
    </row>
    <row r="496" spans="1:11" x14ac:dyDescent="0.2">
      <c r="B496" s="201"/>
      <c r="C496" s="208" t="s">
        <v>4</v>
      </c>
      <c r="D496" s="172">
        <v>15</v>
      </c>
      <c r="E496" s="203">
        <v>23</v>
      </c>
      <c r="F496" s="167">
        <f t="shared" si="61"/>
        <v>115.57788944723619</v>
      </c>
      <c r="G496" s="204">
        <f t="shared" si="55"/>
        <v>-15.577889447236188</v>
      </c>
      <c r="H496" s="205">
        <f t="shared" si="59"/>
        <v>0</v>
      </c>
      <c r="I496" s="206">
        <v>3</v>
      </c>
      <c r="J496" s="206">
        <v>0</v>
      </c>
      <c r="K496" s="162">
        <f t="shared" si="57"/>
        <v>1</v>
      </c>
    </row>
    <row r="497" spans="1:11" x14ac:dyDescent="0.2">
      <c r="B497" s="201"/>
      <c r="C497" s="201" t="s">
        <v>3</v>
      </c>
      <c r="D497" s="165">
        <v>17</v>
      </c>
      <c r="E497" s="203">
        <v>22.1</v>
      </c>
      <c r="F497" s="167">
        <f t="shared" si="61"/>
        <v>111.05527638190958</v>
      </c>
      <c r="G497" s="204">
        <f t="shared" si="55"/>
        <v>-11.055276381909579</v>
      </c>
      <c r="H497" s="205">
        <f t="shared" si="59"/>
        <v>0</v>
      </c>
      <c r="I497" s="206">
        <v>1.5</v>
      </c>
      <c r="J497" s="206">
        <v>0</v>
      </c>
      <c r="K497" s="162">
        <f t="shared" si="57"/>
        <v>0.5</v>
      </c>
    </row>
    <row r="498" spans="1:11" x14ac:dyDescent="0.2">
      <c r="B498" s="201"/>
      <c r="C498" s="201"/>
      <c r="D498" s="165">
        <v>19</v>
      </c>
      <c r="E498" s="203">
        <v>22.6</v>
      </c>
      <c r="F498" s="167">
        <f t="shared" si="61"/>
        <v>113.56783919597993</v>
      </c>
      <c r="G498" s="204">
        <f t="shared" ref="G498:G525" si="62">100-F498</f>
        <v>-13.567839195979928</v>
      </c>
      <c r="H498" s="205">
        <f t="shared" si="59"/>
        <v>0</v>
      </c>
      <c r="I498" s="206">
        <v>1.5</v>
      </c>
      <c r="J498" s="206">
        <v>0</v>
      </c>
      <c r="K498" s="162">
        <f t="shared" ref="K498:K525" si="63">AVERAGE(H498:J498)</f>
        <v>0.5</v>
      </c>
    </row>
    <row r="499" spans="1:11" x14ac:dyDescent="0.2">
      <c r="A499" s="7"/>
      <c r="B499" s="201"/>
      <c r="C499" s="201"/>
      <c r="D499" s="165">
        <v>22</v>
      </c>
      <c r="E499" s="203">
        <v>22.6</v>
      </c>
      <c r="F499" s="167">
        <f t="shared" si="61"/>
        <v>113.56783919597993</v>
      </c>
      <c r="G499" s="204">
        <f t="shared" si="62"/>
        <v>-13.567839195979928</v>
      </c>
      <c r="H499" s="205">
        <f t="shared" si="59"/>
        <v>0</v>
      </c>
      <c r="I499" s="206">
        <v>1.5</v>
      </c>
      <c r="J499" s="206">
        <v>0</v>
      </c>
      <c r="K499" s="162">
        <f t="shared" si="63"/>
        <v>0.5</v>
      </c>
    </row>
    <row r="500" spans="1:11" x14ac:dyDescent="0.2">
      <c r="A500" s="7"/>
      <c r="B500" s="201"/>
      <c r="C500" s="201"/>
      <c r="D500" s="165">
        <v>24</v>
      </c>
      <c r="E500" s="203">
        <v>23.9</v>
      </c>
      <c r="F500" s="167">
        <f t="shared" si="61"/>
        <v>120.10050251256281</v>
      </c>
      <c r="G500" s="204">
        <f t="shared" si="62"/>
        <v>-20.100502512562812</v>
      </c>
      <c r="H500" s="205">
        <f t="shared" si="59"/>
        <v>0</v>
      </c>
      <c r="I500" s="206">
        <v>1.5</v>
      </c>
      <c r="J500" s="206">
        <v>0</v>
      </c>
      <c r="K500" s="207">
        <f t="shared" si="63"/>
        <v>0.5</v>
      </c>
    </row>
    <row r="501" spans="1:11" x14ac:dyDescent="0.2">
      <c r="A501" s="7"/>
      <c r="B501" s="201"/>
      <c r="C501" s="201"/>
      <c r="D501" s="180">
        <v>26</v>
      </c>
      <c r="E501" s="203">
        <v>24.2</v>
      </c>
      <c r="F501" s="167">
        <f t="shared" si="61"/>
        <v>121.60804020100504</v>
      </c>
      <c r="G501" s="204">
        <f t="shared" si="62"/>
        <v>-21.608040201005039</v>
      </c>
      <c r="H501" s="205">
        <f t="shared" si="59"/>
        <v>0</v>
      </c>
      <c r="I501" s="206">
        <v>1</v>
      </c>
      <c r="J501" s="206">
        <v>0</v>
      </c>
      <c r="K501" s="207">
        <f t="shared" si="63"/>
        <v>0.33333333333333331</v>
      </c>
    </row>
    <row r="502" spans="1:11" x14ac:dyDescent="0.2">
      <c r="A502" s="7"/>
      <c r="B502" s="201"/>
      <c r="C502" s="201"/>
      <c r="D502" s="180">
        <v>29</v>
      </c>
      <c r="E502" s="203">
        <v>25.4</v>
      </c>
      <c r="F502" s="167">
        <f t="shared" si="61"/>
        <v>127.63819095477386</v>
      </c>
      <c r="G502" s="204">
        <f t="shared" si="62"/>
        <v>-27.638190954773862</v>
      </c>
      <c r="H502" s="205">
        <f t="shared" si="59"/>
        <v>0</v>
      </c>
      <c r="I502" s="206">
        <v>1</v>
      </c>
      <c r="J502" s="206">
        <v>0</v>
      </c>
      <c r="K502" s="207">
        <f t="shared" si="63"/>
        <v>0.33333333333333331</v>
      </c>
    </row>
    <row r="503" spans="1:11" x14ac:dyDescent="0.2">
      <c r="A503" s="7"/>
      <c r="B503" s="201"/>
      <c r="C503" s="201" t="s">
        <v>15</v>
      </c>
      <c r="D503" s="159">
        <v>31</v>
      </c>
      <c r="E503" s="203">
        <v>23.8</v>
      </c>
      <c r="F503" s="167">
        <f t="shared" si="61"/>
        <v>119.59798994974875</v>
      </c>
      <c r="G503" s="204">
        <f t="shared" si="62"/>
        <v>-19.597989949748751</v>
      </c>
      <c r="H503" s="205">
        <f t="shared" si="59"/>
        <v>0</v>
      </c>
      <c r="I503" s="206">
        <v>2.5</v>
      </c>
      <c r="J503" s="206">
        <v>0</v>
      </c>
      <c r="K503" s="207">
        <f t="shared" si="63"/>
        <v>0.83333333333333337</v>
      </c>
    </row>
    <row r="504" spans="1:11" x14ac:dyDescent="0.2">
      <c r="B504" s="201"/>
      <c r="C504" s="201"/>
      <c r="D504" s="165">
        <v>33</v>
      </c>
      <c r="E504" s="203">
        <v>23.1</v>
      </c>
      <c r="F504" s="204">
        <f t="shared" si="61"/>
        <v>116.08040201005028</v>
      </c>
      <c r="G504" s="204">
        <f t="shared" si="62"/>
        <v>-16.080402010050278</v>
      </c>
      <c r="H504" s="205">
        <f t="shared" si="59"/>
        <v>0</v>
      </c>
      <c r="I504" s="206">
        <v>3.5</v>
      </c>
      <c r="J504" s="206">
        <v>0.5</v>
      </c>
      <c r="K504" s="207">
        <f t="shared" si="63"/>
        <v>1.3333333333333333</v>
      </c>
    </row>
    <row r="505" spans="1:11" x14ac:dyDescent="0.2">
      <c r="B505" s="201"/>
      <c r="C505" s="201" t="s">
        <v>16</v>
      </c>
      <c r="D505" s="165">
        <v>36</v>
      </c>
      <c r="E505" s="203">
        <v>21.8</v>
      </c>
      <c r="F505" s="204">
        <f t="shared" si="61"/>
        <v>109.54773869346735</v>
      </c>
      <c r="G505" s="204">
        <f t="shared" si="62"/>
        <v>-9.5477386934673518</v>
      </c>
      <c r="H505" s="205">
        <f t="shared" si="59"/>
        <v>0</v>
      </c>
      <c r="I505" s="206">
        <v>3</v>
      </c>
      <c r="J505" s="206">
        <v>2</v>
      </c>
      <c r="K505" s="207">
        <f t="shared" si="63"/>
        <v>1.6666666666666667</v>
      </c>
    </row>
    <row r="506" spans="1:11" x14ac:dyDescent="0.2">
      <c r="B506" s="201"/>
      <c r="C506" s="201"/>
      <c r="D506" s="165">
        <v>38</v>
      </c>
      <c r="E506" s="203">
        <v>19.7</v>
      </c>
      <c r="F506" s="204">
        <f t="shared" si="61"/>
        <v>98.994974874371863</v>
      </c>
      <c r="G506" s="204">
        <f t="shared" si="62"/>
        <v>1.0050251256281371</v>
      </c>
      <c r="H506" s="205">
        <f t="shared" si="59"/>
        <v>1</v>
      </c>
      <c r="I506" s="206">
        <v>4</v>
      </c>
      <c r="J506" s="206">
        <v>0</v>
      </c>
      <c r="K506" s="207">
        <f t="shared" si="63"/>
        <v>1.6666666666666667</v>
      </c>
    </row>
    <row r="507" spans="1:11" x14ac:dyDescent="0.2">
      <c r="B507" s="201"/>
      <c r="C507" s="201"/>
      <c r="D507" s="165">
        <v>40</v>
      </c>
      <c r="E507" s="203"/>
      <c r="F507" s="204">
        <f t="shared" si="61"/>
        <v>0</v>
      </c>
      <c r="G507" s="204">
        <f t="shared" si="62"/>
        <v>100</v>
      </c>
      <c r="H507" s="205">
        <f t="shared" si="59"/>
        <v>4</v>
      </c>
      <c r="I507" s="206"/>
      <c r="J507" s="206"/>
      <c r="K507" s="207">
        <f t="shared" si="63"/>
        <v>4</v>
      </c>
    </row>
    <row r="508" spans="1:11" x14ac:dyDescent="0.2">
      <c r="B508" s="201"/>
      <c r="C508" s="201" t="s">
        <v>15</v>
      </c>
      <c r="D508" s="165">
        <v>43</v>
      </c>
      <c r="E508" s="203"/>
      <c r="F508" s="204">
        <f t="shared" si="61"/>
        <v>0</v>
      </c>
      <c r="G508" s="204">
        <f t="shared" si="62"/>
        <v>100</v>
      </c>
      <c r="H508" s="205">
        <f t="shared" si="59"/>
        <v>4</v>
      </c>
      <c r="I508" s="206"/>
      <c r="J508" s="206"/>
      <c r="K508" s="207">
        <f t="shared" si="63"/>
        <v>4</v>
      </c>
    </row>
    <row r="509" spans="1:11" x14ac:dyDescent="0.2">
      <c r="B509" s="201"/>
      <c r="C509" s="201"/>
      <c r="D509" s="165">
        <v>45</v>
      </c>
      <c r="E509" s="203"/>
      <c r="F509" s="204">
        <f t="shared" si="61"/>
        <v>0</v>
      </c>
      <c r="G509" s="204">
        <f t="shared" si="62"/>
        <v>100</v>
      </c>
      <c r="H509" s="205">
        <f t="shared" si="59"/>
        <v>4</v>
      </c>
      <c r="I509" s="206"/>
      <c r="J509" s="206"/>
      <c r="K509" s="207">
        <f t="shared" si="63"/>
        <v>4</v>
      </c>
    </row>
    <row r="510" spans="1:11" x14ac:dyDescent="0.2">
      <c r="B510" s="201"/>
      <c r="C510" s="201"/>
      <c r="D510" s="180">
        <v>47</v>
      </c>
      <c r="E510" s="203"/>
      <c r="F510" s="204">
        <f t="shared" si="61"/>
        <v>0</v>
      </c>
      <c r="G510" s="204">
        <f t="shared" si="62"/>
        <v>100</v>
      </c>
      <c r="H510" s="205">
        <f t="shared" si="59"/>
        <v>4</v>
      </c>
      <c r="I510" s="206"/>
      <c r="J510" s="206"/>
      <c r="K510" s="207">
        <f t="shared" si="63"/>
        <v>4</v>
      </c>
    </row>
    <row r="511" spans="1:11" x14ac:dyDescent="0.2">
      <c r="B511" s="201"/>
      <c r="C511" s="201" t="s">
        <v>16</v>
      </c>
      <c r="D511" s="180">
        <v>50</v>
      </c>
      <c r="E511" s="275"/>
      <c r="F511" s="204">
        <f t="shared" si="61"/>
        <v>0</v>
      </c>
      <c r="G511" s="204">
        <f t="shared" si="62"/>
        <v>100</v>
      </c>
      <c r="H511" s="205">
        <f t="shared" si="59"/>
        <v>4</v>
      </c>
      <c r="I511" s="206"/>
      <c r="J511" s="206"/>
      <c r="K511" s="207">
        <f t="shared" si="63"/>
        <v>4</v>
      </c>
    </row>
    <row r="512" spans="1:11" x14ac:dyDescent="0.2">
      <c r="B512" s="201"/>
      <c r="C512" s="201"/>
      <c r="D512" s="180">
        <v>52</v>
      </c>
      <c r="E512" s="203"/>
      <c r="F512" s="204">
        <f t="shared" si="61"/>
        <v>0</v>
      </c>
      <c r="G512" s="204">
        <f t="shared" si="62"/>
        <v>100</v>
      </c>
      <c r="H512" s="205">
        <f t="shared" si="59"/>
        <v>4</v>
      </c>
      <c r="I512" s="206"/>
      <c r="J512" s="206"/>
      <c r="K512" s="207">
        <f t="shared" si="63"/>
        <v>4</v>
      </c>
    </row>
    <row r="513" spans="1:11" x14ac:dyDescent="0.2">
      <c r="B513" s="201"/>
      <c r="C513" s="201"/>
      <c r="D513" s="180">
        <v>54</v>
      </c>
      <c r="E513" s="203"/>
      <c r="F513" s="204">
        <f t="shared" si="61"/>
        <v>0</v>
      </c>
      <c r="G513" s="204">
        <f t="shared" si="62"/>
        <v>100</v>
      </c>
      <c r="H513" s="205">
        <f t="shared" ref="H513:H540" si="64">IF(G513&lt;=1, 0, IF(AND(G513&gt;1, G513&lt;=5), 1, IF(AND(G513&gt;5, G513&lt;=10), 2, IF(AND(G513&gt;10, G513&lt;=15), 3, 4))))</f>
        <v>4</v>
      </c>
      <c r="I513" s="206"/>
      <c r="J513" s="206"/>
      <c r="K513" s="207">
        <f t="shared" si="63"/>
        <v>4</v>
      </c>
    </row>
    <row r="514" spans="1:11" x14ac:dyDescent="0.2">
      <c r="B514" s="201"/>
      <c r="C514" s="201" t="s">
        <v>15</v>
      </c>
      <c r="D514" s="180">
        <v>57</v>
      </c>
      <c r="E514" s="203"/>
      <c r="F514" s="204">
        <f t="shared" si="61"/>
        <v>0</v>
      </c>
      <c r="G514" s="204">
        <f t="shared" si="62"/>
        <v>100</v>
      </c>
      <c r="H514" s="205">
        <f t="shared" si="64"/>
        <v>4</v>
      </c>
      <c r="I514" s="206"/>
      <c r="J514" s="206"/>
      <c r="K514" s="207">
        <f t="shared" si="63"/>
        <v>4</v>
      </c>
    </row>
    <row r="515" spans="1:11" x14ac:dyDescent="0.2">
      <c r="B515" s="201"/>
      <c r="C515" s="201"/>
      <c r="D515" s="180">
        <v>59</v>
      </c>
      <c r="E515" s="203"/>
      <c r="F515" s="204">
        <f t="shared" si="61"/>
        <v>0</v>
      </c>
      <c r="G515" s="204">
        <f t="shared" si="62"/>
        <v>100</v>
      </c>
      <c r="H515" s="205">
        <f t="shared" si="64"/>
        <v>4</v>
      </c>
      <c r="I515" s="206"/>
      <c r="J515" s="206"/>
      <c r="K515" s="207">
        <f t="shared" si="63"/>
        <v>4</v>
      </c>
    </row>
    <row r="516" spans="1:11" x14ac:dyDescent="0.2">
      <c r="B516" s="201"/>
      <c r="C516" s="201"/>
      <c r="D516" s="180">
        <v>61</v>
      </c>
      <c r="E516" s="203"/>
      <c r="F516" s="204">
        <f t="shared" si="61"/>
        <v>0</v>
      </c>
      <c r="G516" s="204">
        <f t="shared" si="62"/>
        <v>100</v>
      </c>
      <c r="H516" s="205">
        <f t="shared" si="64"/>
        <v>4</v>
      </c>
      <c r="I516" s="206"/>
      <c r="J516" s="206"/>
      <c r="K516" s="207">
        <f t="shared" si="63"/>
        <v>4</v>
      </c>
    </row>
    <row r="517" spans="1:11" ht="17" thickBot="1" x14ac:dyDescent="0.25">
      <c r="B517" s="384"/>
      <c r="C517" s="384"/>
      <c r="D517" s="385">
        <v>64</v>
      </c>
      <c r="E517" s="386"/>
      <c r="F517" s="387">
        <f t="shared" si="61"/>
        <v>0</v>
      </c>
      <c r="G517" s="387">
        <f t="shared" si="62"/>
        <v>100</v>
      </c>
      <c r="H517" s="388">
        <f t="shared" si="64"/>
        <v>4</v>
      </c>
      <c r="I517" s="389"/>
      <c r="J517" s="389"/>
      <c r="K517" s="390">
        <f t="shared" si="63"/>
        <v>4</v>
      </c>
    </row>
    <row r="518" spans="1:11" x14ac:dyDescent="0.2">
      <c r="A518" s="333" t="s">
        <v>25</v>
      </c>
      <c r="B518" s="196" t="s">
        <v>17</v>
      </c>
      <c r="C518" s="196" t="s">
        <v>21</v>
      </c>
      <c r="D518" s="382">
        <v>1</v>
      </c>
      <c r="E518" s="198">
        <v>19.2</v>
      </c>
      <c r="F518" s="199">
        <v>100</v>
      </c>
      <c r="G518" s="199">
        <f t="shared" si="62"/>
        <v>0</v>
      </c>
      <c r="H518" s="200">
        <f t="shared" si="64"/>
        <v>0</v>
      </c>
      <c r="I518" s="189">
        <v>0</v>
      </c>
      <c r="J518" s="189">
        <v>0</v>
      </c>
      <c r="K518" s="383">
        <f t="shared" si="63"/>
        <v>0</v>
      </c>
    </row>
    <row r="519" spans="1:11" x14ac:dyDescent="0.2">
      <c r="B519" s="201"/>
      <c r="C519" s="201"/>
      <c r="D519" s="165">
        <v>3</v>
      </c>
      <c r="E519" s="203">
        <v>18.3</v>
      </c>
      <c r="F519" s="167">
        <f t="shared" ref="F519:F534" si="65">E519/$E$518*100</f>
        <v>95.312500000000014</v>
      </c>
      <c r="G519" s="204">
        <f t="shared" si="62"/>
        <v>4.6874999999999858</v>
      </c>
      <c r="H519" s="205">
        <f t="shared" si="64"/>
        <v>1</v>
      </c>
      <c r="I519" s="206">
        <v>2.5</v>
      </c>
      <c r="J519" s="206">
        <v>0</v>
      </c>
      <c r="K519" s="162">
        <f t="shared" si="63"/>
        <v>1.1666666666666667</v>
      </c>
    </row>
    <row r="520" spans="1:11" x14ac:dyDescent="0.2">
      <c r="B520" s="201"/>
      <c r="C520" s="201"/>
      <c r="D520" s="165">
        <v>5</v>
      </c>
      <c r="E520" s="203">
        <v>20.3</v>
      </c>
      <c r="F520" s="167">
        <f t="shared" si="65"/>
        <v>105.72916666666667</v>
      </c>
      <c r="G520" s="204">
        <f t="shared" si="62"/>
        <v>-5.7291666666666714</v>
      </c>
      <c r="H520" s="205">
        <f t="shared" si="64"/>
        <v>0</v>
      </c>
      <c r="I520" s="206">
        <v>1.5</v>
      </c>
      <c r="J520" s="206">
        <v>0</v>
      </c>
      <c r="K520" s="162">
        <f t="shared" si="63"/>
        <v>0.5</v>
      </c>
    </row>
    <row r="521" spans="1:11" x14ac:dyDescent="0.2">
      <c r="B521" s="201"/>
      <c r="C521" s="201"/>
      <c r="D521" s="165">
        <v>8</v>
      </c>
      <c r="E521" s="203">
        <v>20.6</v>
      </c>
      <c r="F521" s="167">
        <f t="shared" si="65"/>
        <v>107.29166666666667</v>
      </c>
      <c r="G521" s="204">
        <f t="shared" si="62"/>
        <v>-7.2916666666666714</v>
      </c>
      <c r="H521" s="205">
        <f t="shared" si="64"/>
        <v>0</v>
      </c>
      <c r="I521" s="206">
        <v>2</v>
      </c>
      <c r="J521" s="206">
        <v>0</v>
      </c>
      <c r="K521" s="162">
        <f t="shared" si="63"/>
        <v>0.66666666666666663</v>
      </c>
    </row>
    <row r="522" spans="1:11" x14ac:dyDescent="0.2">
      <c r="B522" s="201"/>
      <c r="C522" s="201"/>
      <c r="D522" s="165">
        <v>10</v>
      </c>
      <c r="E522" s="203">
        <v>22.3</v>
      </c>
      <c r="F522" s="167">
        <f t="shared" si="65"/>
        <v>116.14583333333334</v>
      </c>
      <c r="G522" s="204">
        <f t="shared" si="62"/>
        <v>-16.145833333333343</v>
      </c>
      <c r="H522" s="205">
        <f t="shared" si="64"/>
        <v>0</v>
      </c>
      <c r="I522" s="206">
        <v>3.5</v>
      </c>
      <c r="J522" s="206">
        <v>0</v>
      </c>
      <c r="K522" s="162">
        <f t="shared" si="63"/>
        <v>1.1666666666666667</v>
      </c>
    </row>
    <row r="523" spans="1:11" x14ac:dyDescent="0.2">
      <c r="B523" s="201"/>
      <c r="C523" s="201"/>
      <c r="D523" s="165">
        <v>12</v>
      </c>
      <c r="E523" s="203">
        <v>21.3</v>
      </c>
      <c r="F523" s="167">
        <f t="shared" si="65"/>
        <v>110.9375</v>
      </c>
      <c r="G523" s="204">
        <f t="shared" si="62"/>
        <v>-10.9375</v>
      </c>
      <c r="H523" s="205">
        <f t="shared" si="64"/>
        <v>0</v>
      </c>
      <c r="I523" s="206">
        <v>3</v>
      </c>
      <c r="J523" s="206">
        <v>0</v>
      </c>
      <c r="K523" s="162">
        <f t="shared" si="63"/>
        <v>1</v>
      </c>
    </row>
    <row r="524" spans="1:11" x14ac:dyDescent="0.2">
      <c r="B524" s="201"/>
      <c r="C524" s="208" t="s">
        <v>4</v>
      </c>
      <c r="D524" s="172">
        <v>15</v>
      </c>
      <c r="E524" s="203">
        <v>21.9</v>
      </c>
      <c r="F524" s="167">
        <f t="shared" si="65"/>
        <v>114.0625</v>
      </c>
      <c r="G524" s="204">
        <f t="shared" si="62"/>
        <v>-14.0625</v>
      </c>
      <c r="H524" s="205">
        <f t="shared" si="64"/>
        <v>0</v>
      </c>
      <c r="I524" s="206">
        <v>4</v>
      </c>
      <c r="J524" s="206">
        <v>0</v>
      </c>
      <c r="K524" s="162">
        <f t="shared" si="63"/>
        <v>1.3333333333333333</v>
      </c>
    </row>
    <row r="525" spans="1:11" x14ac:dyDescent="0.2">
      <c r="B525" s="201"/>
      <c r="C525" s="201" t="s">
        <v>3</v>
      </c>
      <c r="D525" s="165">
        <v>17</v>
      </c>
      <c r="E525" s="203">
        <v>21.3</v>
      </c>
      <c r="F525" s="167">
        <f t="shared" si="65"/>
        <v>110.9375</v>
      </c>
      <c r="G525" s="204">
        <f t="shared" si="62"/>
        <v>-10.9375</v>
      </c>
      <c r="H525" s="205">
        <f t="shared" si="64"/>
        <v>0</v>
      </c>
      <c r="I525" s="206">
        <v>2</v>
      </c>
      <c r="J525" s="206">
        <v>0</v>
      </c>
      <c r="K525" s="162">
        <f t="shared" si="63"/>
        <v>0.66666666666666663</v>
      </c>
    </row>
    <row r="526" spans="1:11" x14ac:dyDescent="0.2">
      <c r="B526" s="201"/>
      <c r="C526" s="201"/>
      <c r="D526" s="165">
        <v>19</v>
      </c>
      <c r="E526" s="203">
        <v>21.9</v>
      </c>
      <c r="F526" s="167">
        <f t="shared" si="65"/>
        <v>114.0625</v>
      </c>
      <c r="G526" s="204">
        <f t="shared" ref="G526:G573" si="66">100-F526</f>
        <v>-14.0625</v>
      </c>
      <c r="H526" s="205">
        <f t="shared" si="64"/>
        <v>0</v>
      </c>
      <c r="I526" s="206">
        <v>2.5</v>
      </c>
      <c r="J526" s="206">
        <v>0</v>
      </c>
      <c r="K526" s="162">
        <f t="shared" ref="K526:K573" si="67">AVERAGE(H526:J526)</f>
        <v>0.83333333333333337</v>
      </c>
    </row>
    <row r="527" spans="1:11" x14ac:dyDescent="0.2">
      <c r="A527" s="7"/>
      <c r="B527" s="201"/>
      <c r="C527" s="201"/>
      <c r="D527" s="165">
        <v>22</v>
      </c>
      <c r="E527" s="203">
        <v>21.4</v>
      </c>
      <c r="F527" s="167">
        <f t="shared" si="65"/>
        <v>111.45833333333333</v>
      </c>
      <c r="G527" s="204">
        <f t="shared" si="66"/>
        <v>-11.458333333333329</v>
      </c>
      <c r="H527" s="205">
        <f t="shared" si="64"/>
        <v>0</v>
      </c>
      <c r="I527" s="206">
        <v>2</v>
      </c>
      <c r="J527" s="206">
        <v>0</v>
      </c>
      <c r="K527" s="162">
        <f t="shared" si="67"/>
        <v>0.66666666666666663</v>
      </c>
    </row>
    <row r="528" spans="1:11" x14ac:dyDescent="0.2">
      <c r="A528" s="7"/>
      <c r="B528" s="201"/>
      <c r="C528" s="201"/>
      <c r="D528" s="165">
        <v>24</v>
      </c>
      <c r="E528" s="203">
        <v>22</v>
      </c>
      <c r="F528" s="167">
        <f t="shared" si="65"/>
        <v>114.58333333333334</v>
      </c>
      <c r="G528" s="204">
        <f t="shared" si="66"/>
        <v>-14.583333333333343</v>
      </c>
      <c r="H528" s="205">
        <f t="shared" si="64"/>
        <v>0</v>
      </c>
      <c r="I528" s="206">
        <v>1</v>
      </c>
      <c r="J528" s="206">
        <v>0</v>
      </c>
      <c r="K528" s="207">
        <f t="shared" si="67"/>
        <v>0.33333333333333331</v>
      </c>
    </row>
    <row r="529" spans="1:11" x14ac:dyDescent="0.2">
      <c r="A529" s="7"/>
      <c r="B529" s="201"/>
      <c r="C529" s="201"/>
      <c r="D529" s="180">
        <v>26</v>
      </c>
      <c r="E529" s="203">
        <v>24.1</v>
      </c>
      <c r="F529" s="167">
        <f t="shared" si="65"/>
        <v>125.52083333333334</v>
      </c>
      <c r="G529" s="204">
        <f t="shared" si="66"/>
        <v>-25.520833333333343</v>
      </c>
      <c r="H529" s="205">
        <f t="shared" si="64"/>
        <v>0</v>
      </c>
      <c r="I529" s="206">
        <v>1.5</v>
      </c>
      <c r="J529" s="206">
        <v>0</v>
      </c>
      <c r="K529" s="207">
        <f t="shared" si="67"/>
        <v>0.5</v>
      </c>
    </row>
    <row r="530" spans="1:11" x14ac:dyDescent="0.2">
      <c r="A530" s="7"/>
      <c r="B530" s="201"/>
      <c r="C530" s="201"/>
      <c r="D530" s="180">
        <v>29</v>
      </c>
      <c r="E530" s="203">
        <v>23.7</v>
      </c>
      <c r="F530" s="167">
        <f t="shared" si="65"/>
        <v>123.4375</v>
      </c>
      <c r="G530" s="204">
        <f t="shared" si="66"/>
        <v>-23.4375</v>
      </c>
      <c r="H530" s="205">
        <f t="shared" si="64"/>
        <v>0</v>
      </c>
      <c r="I530" s="206">
        <v>1</v>
      </c>
      <c r="J530" s="206">
        <v>0</v>
      </c>
      <c r="K530" s="207">
        <f t="shared" si="67"/>
        <v>0.33333333333333331</v>
      </c>
    </row>
    <row r="531" spans="1:11" x14ac:dyDescent="0.2">
      <c r="A531" s="7"/>
      <c r="B531" s="201"/>
      <c r="C531" s="201" t="s">
        <v>15</v>
      </c>
      <c r="D531" s="159">
        <v>31</v>
      </c>
      <c r="E531" s="203">
        <v>24.8</v>
      </c>
      <c r="F531" s="167">
        <f t="shared" si="65"/>
        <v>129.16666666666669</v>
      </c>
      <c r="G531" s="204">
        <f t="shared" si="66"/>
        <v>-29.166666666666686</v>
      </c>
      <c r="H531" s="205">
        <f t="shared" si="64"/>
        <v>0</v>
      </c>
      <c r="I531" s="206">
        <v>1</v>
      </c>
      <c r="J531" s="206">
        <v>0</v>
      </c>
      <c r="K531" s="207">
        <f t="shared" si="67"/>
        <v>0.33333333333333331</v>
      </c>
    </row>
    <row r="532" spans="1:11" x14ac:dyDescent="0.2">
      <c r="B532" s="201"/>
      <c r="C532" s="201"/>
      <c r="D532" s="165">
        <v>33</v>
      </c>
      <c r="E532" s="203">
        <v>23.1</v>
      </c>
      <c r="F532" s="167">
        <f t="shared" si="65"/>
        <v>120.31250000000003</v>
      </c>
      <c r="G532" s="204">
        <f t="shared" si="66"/>
        <v>-20.312500000000028</v>
      </c>
      <c r="H532" s="205">
        <f t="shared" si="64"/>
        <v>0</v>
      </c>
      <c r="I532" s="206">
        <v>2.5</v>
      </c>
      <c r="J532" s="206">
        <v>0.5</v>
      </c>
      <c r="K532" s="207">
        <f t="shared" si="67"/>
        <v>1</v>
      </c>
    </row>
    <row r="533" spans="1:11" x14ac:dyDescent="0.2">
      <c r="B533" s="201"/>
      <c r="C533" s="201" t="s">
        <v>16</v>
      </c>
      <c r="D533" s="165">
        <v>36</v>
      </c>
      <c r="E533" s="203">
        <v>23</v>
      </c>
      <c r="F533" s="167">
        <f t="shared" si="65"/>
        <v>119.79166666666667</v>
      </c>
      <c r="G533" s="204">
        <f t="shared" si="66"/>
        <v>-19.791666666666671</v>
      </c>
      <c r="H533" s="205">
        <f t="shared" si="64"/>
        <v>0</v>
      </c>
      <c r="I533" s="206">
        <v>4</v>
      </c>
      <c r="J533" s="206">
        <v>2.5</v>
      </c>
      <c r="K533" s="207">
        <f t="shared" si="67"/>
        <v>2.1666666666666665</v>
      </c>
    </row>
    <row r="534" spans="1:11" x14ac:dyDescent="0.2">
      <c r="B534" s="201"/>
      <c r="C534" s="201"/>
      <c r="D534" s="165">
        <v>38</v>
      </c>
      <c r="E534" s="203">
        <v>21.9</v>
      </c>
      <c r="F534" s="167">
        <f t="shared" si="65"/>
        <v>114.0625</v>
      </c>
      <c r="G534" s="204">
        <f t="shared" si="66"/>
        <v>-14.0625</v>
      </c>
      <c r="H534" s="205">
        <f t="shared" si="64"/>
        <v>0</v>
      </c>
      <c r="I534" s="206">
        <v>4</v>
      </c>
      <c r="J534" s="206">
        <v>0</v>
      </c>
      <c r="K534" s="207">
        <f t="shared" si="67"/>
        <v>1.3333333333333333</v>
      </c>
    </row>
    <row r="535" spans="1:11" x14ac:dyDescent="0.2">
      <c r="B535" s="201"/>
      <c r="C535" s="201"/>
      <c r="D535" s="165">
        <v>40</v>
      </c>
      <c r="E535" s="203"/>
      <c r="F535" s="204">
        <f t="shared" ref="F535:F545" si="68">E535/$E$490*100</f>
        <v>0</v>
      </c>
      <c r="G535" s="204">
        <f t="shared" si="66"/>
        <v>100</v>
      </c>
      <c r="H535" s="205">
        <f t="shared" si="64"/>
        <v>4</v>
      </c>
      <c r="I535" s="206"/>
      <c r="J535" s="206"/>
      <c r="K535" s="207">
        <f t="shared" si="67"/>
        <v>4</v>
      </c>
    </row>
    <row r="536" spans="1:11" x14ac:dyDescent="0.2">
      <c r="B536" s="201"/>
      <c r="C536" s="201" t="s">
        <v>15</v>
      </c>
      <c r="D536" s="165">
        <v>43</v>
      </c>
      <c r="E536" s="203"/>
      <c r="F536" s="204">
        <f t="shared" si="68"/>
        <v>0</v>
      </c>
      <c r="G536" s="204">
        <f t="shared" si="66"/>
        <v>100</v>
      </c>
      <c r="H536" s="205">
        <f t="shared" si="64"/>
        <v>4</v>
      </c>
      <c r="I536" s="206"/>
      <c r="J536" s="206"/>
      <c r="K536" s="207">
        <f t="shared" si="67"/>
        <v>4</v>
      </c>
    </row>
    <row r="537" spans="1:11" x14ac:dyDescent="0.2">
      <c r="B537" s="201"/>
      <c r="C537" s="201"/>
      <c r="D537" s="165">
        <v>45</v>
      </c>
      <c r="E537" s="203"/>
      <c r="F537" s="204">
        <f t="shared" si="68"/>
        <v>0</v>
      </c>
      <c r="G537" s="204">
        <f t="shared" si="66"/>
        <v>100</v>
      </c>
      <c r="H537" s="205">
        <f t="shared" si="64"/>
        <v>4</v>
      </c>
      <c r="I537" s="206"/>
      <c r="J537" s="206"/>
      <c r="K537" s="207">
        <f t="shared" si="67"/>
        <v>4</v>
      </c>
    </row>
    <row r="538" spans="1:11" x14ac:dyDescent="0.2">
      <c r="B538" s="201"/>
      <c r="C538" s="201"/>
      <c r="D538" s="180">
        <v>47</v>
      </c>
      <c r="E538" s="203"/>
      <c r="F538" s="204">
        <f t="shared" si="68"/>
        <v>0</v>
      </c>
      <c r="G538" s="204">
        <f t="shared" si="66"/>
        <v>100</v>
      </c>
      <c r="H538" s="205">
        <f t="shared" si="64"/>
        <v>4</v>
      </c>
      <c r="I538" s="206"/>
      <c r="J538" s="206"/>
      <c r="K538" s="207">
        <f t="shared" si="67"/>
        <v>4</v>
      </c>
    </row>
    <row r="539" spans="1:11" x14ac:dyDescent="0.2">
      <c r="B539" s="201"/>
      <c r="C539" s="201" t="s">
        <v>16</v>
      </c>
      <c r="D539" s="180">
        <v>50</v>
      </c>
      <c r="E539" s="275"/>
      <c r="F539" s="204">
        <f t="shared" si="68"/>
        <v>0</v>
      </c>
      <c r="G539" s="204">
        <f t="shared" si="66"/>
        <v>100</v>
      </c>
      <c r="H539" s="205">
        <f t="shared" si="64"/>
        <v>4</v>
      </c>
      <c r="I539" s="206"/>
      <c r="J539" s="206"/>
      <c r="K539" s="207">
        <f t="shared" si="67"/>
        <v>4</v>
      </c>
    </row>
    <row r="540" spans="1:11" x14ac:dyDescent="0.2">
      <c r="B540" s="201"/>
      <c r="C540" s="201"/>
      <c r="D540" s="180">
        <v>52</v>
      </c>
      <c r="E540" s="203"/>
      <c r="F540" s="204">
        <f t="shared" si="68"/>
        <v>0</v>
      </c>
      <c r="G540" s="204">
        <f t="shared" si="66"/>
        <v>100</v>
      </c>
      <c r="H540" s="205">
        <f t="shared" si="64"/>
        <v>4</v>
      </c>
      <c r="I540" s="206"/>
      <c r="J540" s="206"/>
      <c r="K540" s="207">
        <f t="shared" si="67"/>
        <v>4</v>
      </c>
    </row>
    <row r="541" spans="1:11" x14ac:dyDescent="0.2">
      <c r="B541" s="201"/>
      <c r="C541" s="201"/>
      <c r="D541" s="180">
        <v>54</v>
      </c>
      <c r="E541" s="203"/>
      <c r="F541" s="204">
        <f t="shared" si="68"/>
        <v>0</v>
      </c>
      <c r="G541" s="204">
        <f t="shared" si="66"/>
        <v>100</v>
      </c>
      <c r="H541" s="205">
        <f t="shared" ref="H541:H573" si="69">IF(G541&lt;=1, 0, IF(AND(G541&gt;1, G541&lt;=5), 1, IF(AND(G541&gt;5, G541&lt;=10), 2, IF(AND(G541&gt;10, G541&lt;=15), 3, 4))))</f>
        <v>4</v>
      </c>
      <c r="I541" s="206"/>
      <c r="J541" s="206"/>
      <c r="K541" s="207">
        <f t="shared" si="67"/>
        <v>4</v>
      </c>
    </row>
    <row r="542" spans="1:11" x14ac:dyDescent="0.2">
      <c r="B542" s="201"/>
      <c r="C542" s="201" t="s">
        <v>15</v>
      </c>
      <c r="D542" s="180">
        <v>57</v>
      </c>
      <c r="E542" s="203"/>
      <c r="F542" s="204">
        <f t="shared" si="68"/>
        <v>0</v>
      </c>
      <c r="G542" s="204">
        <f t="shared" si="66"/>
        <v>100</v>
      </c>
      <c r="H542" s="205">
        <f t="shared" si="69"/>
        <v>4</v>
      </c>
      <c r="I542" s="206"/>
      <c r="J542" s="206"/>
      <c r="K542" s="207">
        <f t="shared" si="67"/>
        <v>4</v>
      </c>
    </row>
    <row r="543" spans="1:11" x14ac:dyDescent="0.2">
      <c r="B543" s="201"/>
      <c r="C543" s="201"/>
      <c r="D543" s="180">
        <v>59</v>
      </c>
      <c r="E543" s="203"/>
      <c r="F543" s="204">
        <f t="shared" si="68"/>
        <v>0</v>
      </c>
      <c r="G543" s="204">
        <f t="shared" si="66"/>
        <v>100</v>
      </c>
      <c r="H543" s="205">
        <f t="shared" si="69"/>
        <v>4</v>
      </c>
      <c r="I543" s="206"/>
      <c r="J543" s="206"/>
      <c r="K543" s="207">
        <f t="shared" si="67"/>
        <v>4</v>
      </c>
    </row>
    <row r="544" spans="1:11" x14ac:dyDescent="0.2">
      <c r="B544" s="201"/>
      <c r="C544" s="201"/>
      <c r="D544" s="180">
        <v>61</v>
      </c>
      <c r="E544" s="203"/>
      <c r="F544" s="204">
        <f t="shared" si="68"/>
        <v>0</v>
      </c>
      <c r="G544" s="204">
        <f t="shared" si="66"/>
        <v>100</v>
      </c>
      <c r="H544" s="205">
        <f t="shared" si="69"/>
        <v>4</v>
      </c>
      <c r="I544" s="206"/>
      <c r="J544" s="206"/>
      <c r="K544" s="207">
        <f t="shared" si="67"/>
        <v>4</v>
      </c>
    </row>
    <row r="545" spans="1:11" ht="17" thickBot="1" x14ac:dyDescent="0.25">
      <c r="B545" s="384"/>
      <c r="C545" s="384"/>
      <c r="D545" s="385">
        <v>64</v>
      </c>
      <c r="E545" s="386"/>
      <c r="F545" s="387">
        <f t="shared" si="68"/>
        <v>0</v>
      </c>
      <c r="G545" s="387">
        <f t="shared" si="66"/>
        <v>100</v>
      </c>
      <c r="H545" s="388">
        <f t="shared" si="69"/>
        <v>4</v>
      </c>
      <c r="I545" s="389"/>
      <c r="J545" s="389"/>
      <c r="K545" s="390">
        <f t="shared" si="67"/>
        <v>4</v>
      </c>
    </row>
    <row r="546" spans="1:11" x14ac:dyDescent="0.2">
      <c r="A546" s="333" t="s">
        <v>25</v>
      </c>
      <c r="B546" s="196" t="s">
        <v>18</v>
      </c>
      <c r="C546" s="196" t="s">
        <v>21</v>
      </c>
      <c r="D546" s="382">
        <v>1</v>
      </c>
      <c r="E546" s="198">
        <v>20</v>
      </c>
      <c r="F546" s="199">
        <v>100</v>
      </c>
      <c r="G546" s="199">
        <f t="shared" si="66"/>
        <v>0</v>
      </c>
      <c r="H546" s="200">
        <f t="shared" si="69"/>
        <v>0</v>
      </c>
      <c r="I546" s="189">
        <v>0</v>
      </c>
      <c r="J546" s="189">
        <v>0</v>
      </c>
      <c r="K546" s="383">
        <f t="shared" si="67"/>
        <v>0</v>
      </c>
    </row>
    <row r="547" spans="1:11" x14ac:dyDescent="0.2">
      <c r="B547" s="201"/>
      <c r="C547" s="201"/>
      <c r="D547" s="165">
        <v>3</v>
      </c>
      <c r="E547" s="203">
        <v>18.600000000000001</v>
      </c>
      <c r="F547" s="167">
        <f t="shared" ref="F547:F562" si="70">E547/$E$546*100</f>
        <v>93</v>
      </c>
      <c r="G547" s="204">
        <f t="shared" si="66"/>
        <v>7</v>
      </c>
      <c r="H547" s="205">
        <f t="shared" si="69"/>
        <v>2</v>
      </c>
      <c r="I547" s="206">
        <v>2</v>
      </c>
      <c r="J547" s="206">
        <v>0</v>
      </c>
      <c r="K547" s="162">
        <f t="shared" si="67"/>
        <v>1.3333333333333333</v>
      </c>
    </row>
    <row r="548" spans="1:11" x14ac:dyDescent="0.2">
      <c r="B548" s="201"/>
      <c r="C548" s="201"/>
      <c r="D548" s="165">
        <v>5</v>
      </c>
      <c r="E548" s="203">
        <v>20.7</v>
      </c>
      <c r="F548" s="167">
        <f t="shared" si="70"/>
        <v>103.49999999999999</v>
      </c>
      <c r="G548" s="204">
        <f t="shared" si="66"/>
        <v>-3.4999999999999858</v>
      </c>
      <c r="H548" s="205">
        <f t="shared" si="69"/>
        <v>0</v>
      </c>
      <c r="I548" s="206">
        <v>1.5</v>
      </c>
      <c r="J548" s="206">
        <v>0</v>
      </c>
      <c r="K548" s="162">
        <f t="shared" si="67"/>
        <v>0.5</v>
      </c>
    </row>
    <row r="549" spans="1:11" x14ac:dyDescent="0.2">
      <c r="B549" s="201"/>
      <c r="C549" s="201"/>
      <c r="D549" s="165">
        <v>8</v>
      </c>
      <c r="E549" s="203">
        <v>21.4</v>
      </c>
      <c r="F549" s="167">
        <f t="shared" si="70"/>
        <v>106.99999999999999</v>
      </c>
      <c r="G549" s="204">
        <f t="shared" si="66"/>
        <v>-6.9999999999999858</v>
      </c>
      <c r="H549" s="205">
        <f t="shared" si="69"/>
        <v>0</v>
      </c>
      <c r="I549" s="206">
        <v>1.5</v>
      </c>
      <c r="J549" s="206">
        <v>0</v>
      </c>
      <c r="K549" s="162">
        <f t="shared" si="67"/>
        <v>0.5</v>
      </c>
    </row>
    <row r="550" spans="1:11" x14ac:dyDescent="0.2">
      <c r="B550" s="201"/>
      <c r="C550" s="201"/>
      <c r="D550" s="165">
        <v>10</v>
      </c>
      <c r="E550" s="203">
        <v>22</v>
      </c>
      <c r="F550" s="167">
        <f t="shared" si="70"/>
        <v>110.00000000000001</v>
      </c>
      <c r="G550" s="204">
        <f t="shared" si="66"/>
        <v>-10.000000000000014</v>
      </c>
      <c r="H550" s="205">
        <f t="shared" si="69"/>
        <v>0</v>
      </c>
      <c r="I550" s="206">
        <v>3</v>
      </c>
      <c r="J550" s="206">
        <v>0</v>
      </c>
      <c r="K550" s="162">
        <f t="shared" si="67"/>
        <v>1</v>
      </c>
    </row>
    <row r="551" spans="1:11" x14ac:dyDescent="0.2">
      <c r="B551" s="201"/>
      <c r="C551" s="201"/>
      <c r="D551" s="165">
        <v>12</v>
      </c>
      <c r="E551" s="203">
        <v>22.2</v>
      </c>
      <c r="F551" s="167">
        <f t="shared" si="70"/>
        <v>110.99999999999999</v>
      </c>
      <c r="G551" s="204">
        <f t="shared" si="66"/>
        <v>-10.999999999999986</v>
      </c>
      <c r="H551" s="205">
        <f t="shared" si="69"/>
        <v>0</v>
      </c>
      <c r="I551" s="206">
        <v>3</v>
      </c>
      <c r="J551" s="206">
        <v>0</v>
      </c>
      <c r="K551" s="162">
        <f t="shared" si="67"/>
        <v>1</v>
      </c>
    </row>
    <row r="552" spans="1:11" x14ac:dyDescent="0.2">
      <c r="B552" s="201"/>
      <c r="C552" s="208" t="s">
        <v>4</v>
      </c>
      <c r="D552" s="172">
        <v>15</v>
      </c>
      <c r="E552" s="203">
        <v>22.2</v>
      </c>
      <c r="F552" s="167">
        <f t="shared" si="70"/>
        <v>110.99999999999999</v>
      </c>
      <c r="G552" s="204">
        <f t="shared" si="66"/>
        <v>-10.999999999999986</v>
      </c>
      <c r="H552" s="205">
        <f t="shared" si="69"/>
        <v>0</v>
      </c>
      <c r="I552" s="206">
        <v>3.5</v>
      </c>
      <c r="J552" s="206">
        <v>0</v>
      </c>
      <c r="K552" s="162">
        <f t="shared" si="67"/>
        <v>1.1666666666666667</v>
      </c>
    </row>
    <row r="553" spans="1:11" x14ac:dyDescent="0.2">
      <c r="B553" s="201"/>
      <c r="C553" s="201" t="s">
        <v>3</v>
      </c>
      <c r="D553" s="165">
        <v>17</v>
      </c>
      <c r="E553" s="203">
        <v>22</v>
      </c>
      <c r="F553" s="167">
        <f t="shared" si="70"/>
        <v>110.00000000000001</v>
      </c>
      <c r="G553" s="204">
        <f t="shared" si="66"/>
        <v>-10.000000000000014</v>
      </c>
      <c r="H553" s="205">
        <f t="shared" si="69"/>
        <v>0</v>
      </c>
      <c r="I553" s="206">
        <v>1.5</v>
      </c>
      <c r="J553" s="206">
        <v>0</v>
      </c>
      <c r="K553" s="162">
        <f t="shared" si="67"/>
        <v>0.5</v>
      </c>
    </row>
    <row r="554" spans="1:11" x14ac:dyDescent="0.2">
      <c r="B554" s="201"/>
      <c r="C554" s="201"/>
      <c r="D554" s="165">
        <v>19</v>
      </c>
      <c r="E554" s="203">
        <v>21.9</v>
      </c>
      <c r="F554" s="167">
        <f t="shared" si="70"/>
        <v>109.5</v>
      </c>
      <c r="G554" s="204">
        <f t="shared" si="66"/>
        <v>-9.5</v>
      </c>
      <c r="H554" s="205">
        <f t="shared" si="69"/>
        <v>0</v>
      </c>
      <c r="I554" s="206">
        <v>4</v>
      </c>
      <c r="J554" s="206">
        <v>0</v>
      </c>
      <c r="K554" s="162">
        <f t="shared" si="67"/>
        <v>1.3333333333333333</v>
      </c>
    </row>
    <row r="555" spans="1:11" x14ac:dyDescent="0.2">
      <c r="A555" s="7"/>
      <c r="B555" s="201"/>
      <c r="C555" s="201"/>
      <c r="D555" s="165">
        <v>22</v>
      </c>
      <c r="E555" s="203">
        <v>24.1</v>
      </c>
      <c r="F555" s="167">
        <f t="shared" si="70"/>
        <v>120.5</v>
      </c>
      <c r="G555" s="204">
        <f t="shared" si="66"/>
        <v>-20.5</v>
      </c>
      <c r="H555" s="205">
        <f t="shared" si="69"/>
        <v>0</v>
      </c>
      <c r="I555" s="206">
        <v>3</v>
      </c>
      <c r="J555" s="206">
        <v>0</v>
      </c>
      <c r="K555" s="162">
        <f t="shared" si="67"/>
        <v>1</v>
      </c>
    </row>
    <row r="556" spans="1:11" x14ac:dyDescent="0.2">
      <c r="A556" s="7"/>
      <c r="B556" s="201"/>
      <c r="C556" s="201"/>
      <c r="D556" s="165">
        <v>24</v>
      </c>
      <c r="E556" s="203">
        <v>22.7</v>
      </c>
      <c r="F556" s="167">
        <f t="shared" si="70"/>
        <v>113.5</v>
      </c>
      <c r="G556" s="204">
        <f t="shared" si="66"/>
        <v>-13.5</v>
      </c>
      <c r="H556" s="205">
        <f t="shared" si="69"/>
        <v>0</v>
      </c>
      <c r="I556" s="206">
        <v>1.5</v>
      </c>
      <c r="J556" s="206">
        <v>0</v>
      </c>
      <c r="K556" s="207">
        <f t="shared" si="67"/>
        <v>0.5</v>
      </c>
    </row>
    <row r="557" spans="1:11" x14ac:dyDescent="0.2">
      <c r="A557" s="7"/>
      <c r="B557" s="201"/>
      <c r="C557" s="201"/>
      <c r="D557" s="180">
        <v>26</v>
      </c>
      <c r="E557" s="203">
        <v>22.8</v>
      </c>
      <c r="F557" s="167">
        <f t="shared" si="70"/>
        <v>114.00000000000001</v>
      </c>
      <c r="G557" s="204">
        <f t="shared" si="66"/>
        <v>-14.000000000000014</v>
      </c>
      <c r="H557" s="205">
        <f t="shared" si="69"/>
        <v>0</v>
      </c>
      <c r="I557" s="206">
        <v>1</v>
      </c>
      <c r="J557" s="206">
        <v>0</v>
      </c>
      <c r="K557" s="207">
        <f t="shared" si="67"/>
        <v>0.33333333333333331</v>
      </c>
    </row>
    <row r="558" spans="1:11" x14ac:dyDescent="0.2">
      <c r="A558" s="7"/>
      <c r="B558" s="201"/>
      <c r="C558" s="201"/>
      <c r="D558" s="180">
        <v>29</v>
      </c>
      <c r="E558" s="203">
        <v>23.4</v>
      </c>
      <c r="F558" s="167">
        <f t="shared" si="70"/>
        <v>117</v>
      </c>
      <c r="G558" s="204">
        <f t="shared" si="66"/>
        <v>-17</v>
      </c>
      <c r="H558" s="205">
        <f t="shared" si="69"/>
        <v>0</v>
      </c>
      <c r="I558" s="206">
        <v>1</v>
      </c>
      <c r="J558" s="206">
        <v>0</v>
      </c>
      <c r="K558" s="207">
        <f t="shared" si="67"/>
        <v>0.33333333333333331</v>
      </c>
    </row>
    <row r="559" spans="1:11" x14ac:dyDescent="0.2">
      <c r="A559" s="7"/>
      <c r="B559" s="201"/>
      <c r="C559" s="201" t="s">
        <v>15</v>
      </c>
      <c r="D559" s="159">
        <v>31</v>
      </c>
      <c r="E559" s="203">
        <v>23.9</v>
      </c>
      <c r="F559" s="167">
        <f t="shared" si="70"/>
        <v>119.49999999999999</v>
      </c>
      <c r="G559" s="204">
        <f t="shared" si="66"/>
        <v>-19.499999999999986</v>
      </c>
      <c r="H559" s="205">
        <f t="shared" si="69"/>
        <v>0</v>
      </c>
      <c r="I559" s="206">
        <v>1.5</v>
      </c>
      <c r="J559" s="206">
        <v>0</v>
      </c>
      <c r="K559" s="207">
        <f t="shared" si="67"/>
        <v>0.5</v>
      </c>
    </row>
    <row r="560" spans="1:11" x14ac:dyDescent="0.2">
      <c r="B560" s="201"/>
      <c r="C560" s="201"/>
      <c r="D560" s="165">
        <v>33</v>
      </c>
      <c r="E560" s="203">
        <v>24.2</v>
      </c>
      <c r="F560" s="167">
        <f t="shared" si="70"/>
        <v>121</v>
      </c>
      <c r="G560" s="204">
        <f t="shared" si="66"/>
        <v>-21</v>
      </c>
      <c r="H560" s="205">
        <f t="shared" si="69"/>
        <v>0</v>
      </c>
      <c r="I560" s="206">
        <v>0.5</v>
      </c>
      <c r="J560" s="206">
        <v>0</v>
      </c>
      <c r="K560" s="207">
        <f t="shared" si="67"/>
        <v>0.16666666666666666</v>
      </c>
    </row>
    <row r="561" spans="1:11" x14ac:dyDescent="0.2">
      <c r="B561" s="201"/>
      <c r="C561" s="201" t="s">
        <v>16</v>
      </c>
      <c r="D561" s="165">
        <v>36</v>
      </c>
      <c r="E561" s="203">
        <v>23.4</v>
      </c>
      <c r="F561" s="167">
        <f t="shared" si="70"/>
        <v>117</v>
      </c>
      <c r="G561" s="204">
        <f t="shared" si="66"/>
        <v>-17</v>
      </c>
      <c r="H561" s="205">
        <f t="shared" si="69"/>
        <v>0</v>
      </c>
      <c r="I561" s="206">
        <v>4</v>
      </c>
      <c r="J561" s="206">
        <v>4</v>
      </c>
      <c r="K561" s="207">
        <f t="shared" si="67"/>
        <v>2.6666666666666665</v>
      </c>
    </row>
    <row r="562" spans="1:11" x14ac:dyDescent="0.2">
      <c r="B562" s="201"/>
      <c r="C562" s="201"/>
      <c r="D562" s="165">
        <v>38</v>
      </c>
      <c r="E562" s="203">
        <v>22.5</v>
      </c>
      <c r="F562" s="167">
        <f t="shared" si="70"/>
        <v>112.5</v>
      </c>
      <c r="G562" s="204">
        <f t="shared" si="66"/>
        <v>-12.5</v>
      </c>
      <c r="H562" s="205">
        <f t="shared" si="69"/>
        <v>0</v>
      </c>
      <c r="I562" s="206">
        <v>3</v>
      </c>
      <c r="J562" s="206">
        <v>1</v>
      </c>
      <c r="K562" s="207">
        <f t="shared" si="67"/>
        <v>1.3333333333333333</v>
      </c>
    </row>
    <row r="563" spans="1:11" x14ac:dyDescent="0.2">
      <c r="B563" s="201"/>
      <c r="C563" s="201"/>
      <c r="D563" s="165">
        <v>40</v>
      </c>
      <c r="E563" s="203"/>
      <c r="F563" s="204">
        <f t="shared" ref="F563:F573" si="71">E563/$E$490*100</f>
        <v>0</v>
      </c>
      <c r="G563" s="204">
        <f t="shared" si="66"/>
        <v>100</v>
      </c>
      <c r="H563" s="205">
        <f t="shared" si="69"/>
        <v>4</v>
      </c>
      <c r="I563" s="206"/>
      <c r="J563" s="206"/>
      <c r="K563" s="207">
        <f t="shared" si="67"/>
        <v>4</v>
      </c>
    </row>
    <row r="564" spans="1:11" x14ac:dyDescent="0.2">
      <c r="B564" s="201"/>
      <c r="C564" s="201" t="s">
        <v>15</v>
      </c>
      <c r="D564" s="165">
        <v>43</v>
      </c>
      <c r="E564" s="203"/>
      <c r="F564" s="204">
        <f t="shared" si="71"/>
        <v>0</v>
      </c>
      <c r="G564" s="204">
        <f t="shared" si="66"/>
        <v>100</v>
      </c>
      <c r="H564" s="205">
        <f t="shared" si="69"/>
        <v>4</v>
      </c>
      <c r="I564" s="206"/>
      <c r="J564" s="206"/>
      <c r="K564" s="207">
        <f t="shared" si="67"/>
        <v>4</v>
      </c>
    </row>
    <row r="565" spans="1:11" x14ac:dyDescent="0.2">
      <c r="B565" s="201"/>
      <c r="C565" s="201"/>
      <c r="D565" s="165">
        <v>45</v>
      </c>
      <c r="E565" s="203"/>
      <c r="F565" s="204">
        <f t="shared" si="71"/>
        <v>0</v>
      </c>
      <c r="G565" s="204">
        <f t="shared" si="66"/>
        <v>100</v>
      </c>
      <c r="H565" s="205">
        <f t="shared" si="69"/>
        <v>4</v>
      </c>
      <c r="I565" s="206"/>
      <c r="J565" s="206"/>
      <c r="K565" s="207">
        <f t="shared" si="67"/>
        <v>4</v>
      </c>
    </row>
    <row r="566" spans="1:11" x14ac:dyDescent="0.2">
      <c r="B566" s="201"/>
      <c r="C566" s="201"/>
      <c r="D566" s="180">
        <v>47</v>
      </c>
      <c r="E566" s="203"/>
      <c r="F566" s="204">
        <f t="shared" si="71"/>
        <v>0</v>
      </c>
      <c r="G566" s="204">
        <f t="shared" si="66"/>
        <v>100</v>
      </c>
      <c r="H566" s="205">
        <f t="shared" si="69"/>
        <v>4</v>
      </c>
      <c r="I566" s="206"/>
      <c r="J566" s="206"/>
      <c r="K566" s="207">
        <f t="shared" si="67"/>
        <v>4</v>
      </c>
    </row>
    <row r="567" spans="1:11" x14ac:dyDescent="0.2">
      <c r="B567" s="201"/>
      <c r="C567" s="201" t="s">
        <v>16</v>
      </c>
      <c r="D567" s="180">
        <v>50</v>
      </c>
      <c r="E567" s="275"/>
      <c r="F567" s="204">
        <f t="shared" si="71"/>
        <v>0</v>
      </c>
      <c r="G567" s="204">
        <f t="shared" si="66"/>
        <v>100</v>
      </c>
      <c r="H567" s="205">
        <f t="shared" si="69"/>
        <v>4</v>
      </c>
      <c r="I567" s="206"/>
      <c r="J567" s="206"/>
      <c r="K567" s="207">
        <f t="shared" si="67"/>
        <v>4</v>
      </c>
    </row>
    <row r="568" spans="1:11" x14ac:dyDescent="0.2">
      <c r="B568" s="201"/>
      <c r="C568" s="201"/>
      <c r="D568" s="180">
        <v>52</v>
      </c>
      <c r="E568" s="203"/>
      <c r="F568" s="204">
        <f t="shared" si="71"/>
        <v>0</v>
      </c>
      <c r="G568" s="204">
        <f t="shared" si="66"/>
        <v>100</v>
      </c>
      <c r="H568" s="205">
        <f t="shared" si="69"/>
        <v>4</v>
      </c>
      <c r="I568" s="206"/>
      <c r="J568" s="206"/>
      <c r="K568" s="207">
        <f t="shared" si="67"/>
        <v>4</v>
      </c>
    </row>
    <row r="569" spans="1:11" x14ac:dyDescent="0.2">
      <c r="B569" s="201"/>
      <c r="C569" s="201"/>
      <c r="D569" s="180">
        <v>54</v>
      </c>
      <c r="E569" s="203"/>
      <c r="F569" s="204">
        <f t="shared" si="71"/>
        <v>0</v>
      </c>
      <c r="G569" s="204">
        <f t="shared" si="66"/>
        <v>100</v>
      </c>
      <c r="H569" s="205">
        <f t="shared" si="69"/>
        <v>4</v>
      </c>
      <c r="I569" s="206"/>
      <c r="J569" s="206"/>
      <c r="K569" s="207">
        <f t="shared" si="67"/>
        <v>4</v>
      </c>
    </row>
    <row r="570" spans="1:11" x14ac:dyDescent="0.2">
      <c r="B570" s="201"/>
      <c r="C570" s="201" t="s">
        <v>15</v>
      </c>
      <c r="D570" s="180">
        <v>57</v>
      </c>
      <c r="E570" s="203"/>
      <c r="F570" s="204">
        <f t="shared" si="71"/>
        <v>0</v>
      </c>
      <c r="G570" s="204">
        <f t="shared" si="66"/>
        <v>100</v>
      </c>
      <c r="H570" s="205">
        <f t="shared" si="69"/>
        <v>4</v>
      </c>
      <c r="I570" s="206"/>
      <c r="J570" s="206"/>
      <c r="K570" s="207">
        <f t="shared" si="67"/>
        <v>4</v>
      </c>
    </row>
    <row r="571" spans="1:11" x14ac:dyDescent="0.2">
      <c r="B571" s="201"/>
      <c r="C571" s="201"/>
      <c r="D571" s="180">
        <v>59</v>
      </c>
      <c r="E571" s="203"/>
      <c r="F571" s="204">
        <f t="shared" si="71"/>
        <v>0</v>
      </c>
      <c r="G571" s="204">
        <f t="shared" si="66"/>
        <v>100</v>
      </c>
      <c r="H571" s="205">
        <f t="shared" si="69"/>
        <v>4</v>
      </c>
      <c r="I571" s="206"/>
      <c r="J571" s="206"/>
      <c r="K571" s="207">
        <f t="shared" si="67"/>
        <v>4</v>
      </c>
    </row>
    <row r="572" spans="1:11" x14ac:dyDescent="0.2">
      <c r="B572" s="201"/>
      <c r="C572" s="201"/>
      <c r="D572" s="180">
        <v>61</v>
      </c>
      <c r="E572" s="203"/>
      <c r="F572" s="204">
        <f t="shared" si="71"/>
        <v>0</v>
      </c>
      <c r="G572" s="204">
        <f t="shared" si="66"/>
        <v>100</v>
      </c>
      <c r="H572" s="205">
        <f t="shared" si="69"/>
        <v>4</v>
      </c>
      <c r="I572" s="206"/>
      <c r="J572" s="206"/>
      <c r="K572" s="207">
        <f t="shared" si="67"/>
        <v>4</v>
      </c>
    </row>
    <row r="573" spans="1:11" x14ac:dyDescent="0.2">
      <c r="B573" s="201"/>
      <c r="C573" s="201"/>
      <c r="D573" s="202">
        <v>64</v>
      </c>
      <c r="E573" s="203"/>
      <c r="F573" s="204">
        <f t="shared" si="71"/>
        <v>0</v>
      </c>
      <c r="G573" s="204">
        <f t="shared" si="66"/>
        <v>100</v>
      </c>
      <c r="H573" s="205">
        <f t="shared" si="69"/>
        <v>4</v>
      </c>
      <c r="I573" s="206"/>
      <c r="J573" s="206"/>
      <c r="K573" s="207">
        <f t="shared" si="67"/>
        <v>4</v>
      </c>
    </row>
    <row r="576" spans="1:11" x14ac:dyDescent="0.2">
      <c r="A576" s="8" t="s">
        <v>26</v>
      </c>
      <c r="B576" s="209" t="s">
        <v>0</v>
      </c>
      <c r="C576" s="209" t="s">
        <v>21</v>
      </c>
      <c r="D576" s="347">
        <v>1</v>
      </c>
      <c r="E576" s="348">
        <v>18.3</v>
      </c>
      <c r="F576" s="349">
        <v>100</v>
      </c>
      <c r="G576" s="212">
        <f t="shared" ref="G576:G639" si="72">100-F576</f>
        <v>0</v>
      </c>
      <c r="H576" s="213">
        <f t="shared" ref="H576:H639" si="73">IF(G576&lt;=1, 0, IF(AND(G576&gt;1, G576&lt;=5), 1, IF(AND(G576&gt;5, G576&lt;=10), 2, IF(AND(G576&gt;10, G576&lt;=15), 3, 4))))</f>
        <v>0</v>
      </c>
      <c r="I576" s="214">
        <v>0</v>
      </c>
      <c r="J576" s="214">
        <v>0</v>
      </c>
      <c r="K576" s="213">
        <f t="shared" ref="K576:K639" si="74">AVERAGE(H576:J576)</f>
        <v>0</v>
      </c>
    </row>
    <row r="577" spans="2:11" x14ac:dyDescent="0.2">
      <c r="B577" s="215"/>
      <c r="C577" s="215"/>
      <c r="D577" s="216">
        <v>3</v>
      </c>
      <c r="E577" s="350">
        <v>16.8</v>
      </c>
      <c r="F577" s="218">
        <f t="shared" ref="F577:F603" si="75">E577/$E$576*100</f>
        <v>91.803278688524586</v>
      </c>
      <c r="G577" s="218">
        <f t="shared" si="72"/>
        <v>8.1967213114754145</v>
      </c>
      <c r="H577" s="219">
        <f t="shared" si="73"/>
        <v>2</v>
      </c>
      <c r="I577" s="220">
        <v>1</v>
      </c>
      <c r="J577" s="214">
        <v>0</v>
      </c>
      <c r="K577" s="219">
        <f t="shared" si="74"/>
        <v>1</v>
      </c>
    </row>
    <row r="578" spans="2:11" x14ac:dyDescent="0.2">
      <c r="B578" s="215"/>
      <c r="C578" s="215"/>
      <c r="D578" s="216">
        <v>5</v>
      </c>
      <c r="E578" s="217">
        <v>17.8</v>
      </c>
      <c r="F578" s="218">
        <f t="shared" si="75"/>
        <v>97.267759562841533</v>
      </c>
      <c r="G578" s="218">
        <f t="shared" si="72"/>
        <v>2.7322404371584668</v>
      </c>
      <c r="H578" s="219">
        <f t="shared" si="73"/>
        <v>1</v>
      </c>
      <c r="I578" s="220">
        <v>0.5</v>
      </c>
      <c r="J578" s="214">
        <v>0</v>
      </c>
      <c r="K578" s="219">
        <f t="shared" si="74"/>
        <v>0.5</v>
      </c>
    </row>
    <row r="579" spans="2:11" x14ac:dyDescent="0.2">
      <c r="B579" s="215"/>
      <c r="C579" s="215"/>
      <c r="D579" s="216">
        <v>8</v>
      </c>
      <c r="E579" s="221">
        <v>15.5</v>
      </c>
      <c r="F579" s="218">
        <f t="shared" si="75"/>
        <v>84.699453551912569</v>
      </c>
      <c r="G579" s="218">
        <f t="shared" si="72"/>
        <v>15.300546448087431</v>
      </c>
      <c r="H579" s="219">
        <f t="shared" si="73"/>
        <v>4</v>
      </c>
      <c r="I579" s="220">
        <v>0.5</v>
      </c>
      <c r="J579" s="214">
        <v>0</v>
      </c>
      <c r="K579" s="219">
        <f t="shared" si="74"/>
        <v>1.5</v>
      </c>
    </row>
    <row r="580" spans="2:11" x14ac:dyDescent="0.2">
      <c r="B580" s="215"/>
      <c r="C580" s="215"/>
      <c r="D580" s="216">
        <v>10</v>
      </c>
      <c r="E580" s="221">
        <v>15.6</v>
      </c>
      <c r="F580" s="218">
        <f t="shared" si="75"/>
        <v>85.245901639344254</v>
      </c>
      <c r="G580" s="218">
        <f t="shared" si="72"/>
        <v>14.754098360655746</v>
      </c>
      <c r="H580" s="219">
        <f t="shared" si="73"/>
        <v>3</v>
      </c>
      <c r="I580" s="220">
        <v>0.5</v>
      </c>
      <c r="J580" s="214">
        <v>0</v>
      </c>
      <c r="K580" s="219">
        <f t="shared" si="74"/>
        <v>1.1666666666666667</v>
      </c>
    </row>
    <row r="581" spans="2:11" x14ac:dyDescent="0.2">
      <c r="B581" s="215"/>
      <c r="C581" s="215"/>
      <c r="D581" s="216">
        <v>12</v>
      </c>
      <c r="E581" s="221">
        <v>16.100000000000001</v>
      </c>
      <c r="F581" s="218">
        <f t="shared" si="75"/>
        <v>87.978142076502735</v>
      </c>
      <c r="G581" s="218">
        <f t="shared" si="72"/>
        <v>12.021857923497265</v>
      </c>
      <c r="H581" s="219">
        <f t="shared" si="73"/>
        <v>3</v>
      </c>
      <c r="I581" s="220">
        <v>0</v>
      </c>
      <c r="J581" s="214">
        <v>0</v>
      </c>
      <c r="K581" s="219">
        <f t="shared" si="74"/>
        <v>1</v>
      </c>
    </row>
    <row r="582" spans="2:11" x14ac:dyDescent="0.2">
      <c r="B582" s="222"/>
      <c r="C582" s="222" t="s">
        <v>4</v>
      </c>
      <c r="D582" s="223">
        <v>15</v>
      </c>
      <c r="E582" s="221">
        <v>20.2</v>
      </c>
      <c r="F582" s="218">
        <f t="shared" si="75"/>
        <v>110.38251366120218</v>
      </c>
      <c r="G582" s="224">
        <f t="shared" si="72"/>
        <v>-10.382513661202182</v>
      </c>
      <c r="H582" s="225">
        <f t="shared" si="73"/>
        <v>0</v>
      </c>
      <c r="I582" s="226">
        <v>2</v>
      </c>
      <c r="J582" s="214">
        <v>0</v>
      </c>
      <c r="K582" s="219">
        <f t="shared" si="74"/>
        <v>0.66666666666666663</v>
      </c>
    </row>
    <row r="583" spans="2:11" x14ac:dyDescent="0.2">
      <c r="B583" s="215"/>
      <c r="C583" s="215" t="s">
        <v>3</v>
      </c>
      <c r="D583" s="216">
        <v>17</v>
      </c>
      <c r="E583" s="227">
        <v>20.100000000000001</v>
      </c>
      <c r="F583" s="218">
        <f t="shared" si="75"/>
        <v>109.8360655737705</v>
      </c>
      <c r="G583" s="218">
        <f t="shared" si="72"/>
        <v>-9.8360655737704974</v>
      </c>
      <c r="H583" s="219">
        <f t="shared" si="73"/>
        <v>0</v>
      </c>
      <c r="I583" s="220">
        <v>4</v>
      </c>
      <c r="J583" s="214">
        <v>0</v>
      </c>
      <c r="K583" s="228">
        <f t="shared" si="74"/>
        <v>1.3333333333333333</v>
      </c>
    </row>
    <row r="584" spans="2:11" x14ac:dyDescent="0.2">
      <c r="B584" s="215"/>
      <c r="C584" s="215"/>
      <c r="D584" s="216">
        <v>19</v>
      </c>
      <c r="E584" s="227">
        <v>19.899999999999999</v>
      </c>
      <c r="F584" s="218">
        <f t="shared" si="75"/>
        <v>108.74316939890709</v>
      </c>
      <c r="G584" s="218">
        <f t="shared" si="72"/>
        <v>-8.7431693989070851</v>
      </c>
      <c r="H584" s="219">
        <f t="shared" si="73"/>
        <v>0</v>
      </c>
      <c r="I584" s="220">
        <v>3.5</v>
      </c>
      <c r="J584" s="214">
        <v>0</v>
      </c>
      <c r="K584" s="229">
        <f t="shared" si="74"/>
        <v>1.1666666666666667</v>
      </c>
    </row>
    <row r="585" spans="2:11" x14ac:dyDescent="0.2">
      <c r="B585" s="215"/>
      <c r="C585" s="215"/>
      <c r="D585" s="216">
        <v>22</v>
      </c>
      <c r="E585" s="261">
        <v>20.8</v>
      </c>
      <c r="F585" s="218">
        <f t="shared" si="75"/>
        <v>113.66120218579235</v>
      </c>
      <c r="G585" s="218">
        <f t="shared" si="72"/>
        <v>-13.661202185792348</v>
      </c>
      <c r="H585" s="219">
        <f t="shared" si="73"/>
        <v>0</v>
      </c>
      <c r="I585" s="220">
        <v>2</v>
      </c>
      <c r="J585" s="214">
        <v>0</v>
      </c>
      <c r="K585" s="229">
        <f t="shared" si="74"/>
        <v>0.66666666666666663</v>
      </c>
    </row>
    <row r="586" spans="2:11" x14ac:dyDescent="0.2">
      <c r="B586" s="215"/>
      <c r="C586" s="215"/>
      <c r="D586" s="216">
        <v>24</v>
      </c>
      <c r="E586" s="261">
        <v>20.2</v>
      </c>
      <c r="F586" s="218">
        <f t="shared" si="75"/>
        <v>110.38251366120218</v>
      </c>
      <c r="G586" s="218">
        <f t="shared" si="72"/>
        <v>-10.382513661202182</v>
      </c>
      <c r="H586" s="219">
        <f t="shared" si="73"/>
        <v>0</v>
      </c>
      <c r="I586" s="220">
        <v>1</v>
      </c>
      <c r="J586" s="214">
        <v>0</v>
      </c>
      <c r="K586" s="229">
        <f t="shared" si="74"/>
        <v>0.33333333333333331</v>
      </c>
    </row>
    <row r="587" spans="2:11" x14ac:dyDescent="0.2">
      <c r="B587" s="230"/>
      <c r="C587" s="230"/>
      <c r="D587" s="231">
        <v>26</v>
      </c>
      <c r="E587" s="232">
        <v>21.2</v>
      </c>
      <c r="F587" s="233">
        <f t="shared" si="75"/>
        <v>115.84699453551912</v>
      </c>
      <c r="G587" s="233">
        <f t="shared" si="72"/>
        <v>-15.846994535519116</v>
      </c>
      <c r="H587" s="234">
        <f t="shared" si="73"/>
        <v>0</v>
      </c>
      <c r="I587" s="235">
        <v>1</v>
      </c>
      <c r="J587" s="214">
        <v>0</v>
      </c>
      <c r="K587" s="229">
        <f t="shared" si="74"/>
        <v>0.33333333333333331</v>
      </c>
    </row>
    <row r="588" spans="2:11" x14ac:dyDescent="0.2">
      <c r="B588" s="230"/>
      <c r="C588" s="230"/>
      <c r="D588" s="231">
        <v>29</v>
      </c>
      <c r="E588" s="232">
        <v>21.2</v>
      </c>
      <c r="F588" s="233">
        <f t="shared" si="75"/>
        <v>115.84699453551912</v>
      </c>
      <c r="G588" s="233">
        <f t="shared" si="72"/>
        <v>-15.846994535519116</v>
      </c>
      <c r="H588" s="234">
        <f t="shared" si="73"/>
        <v>0</v>
      </c>
      <c r="I588" s="235">
        <v>0.5</v>
      </c>
      <c r="J588" s="214">
        <v>0</v>
      </c>
      <c r="K588" s="229">
        <f t="shared" si="74"/>
        <v>0.16666666666666666</v>
      </c>
    </row>
    <row r="589" spans="2:11" x14ac:dyDescent="0.2">
      <c r="B589" s="209"/>
      <c r="C589" s="209" t="s">
        <v>15</v>
      </c>
      <c r="D589" s="210">
        <v>31</v>
      </c>
      <c r="E589" s="236">
        <v>22.4</v>
      </c>
      <c r="F589" s="212">
        <f t="shared" si="75"/>
        <v>122.40437158469943</v>
      </c>
      <c r="G589" s="212">
        <f t="shared" si="72"/>
        <v>-22.404371584699433</v>
      </c>
      <c r="H589" s="213">
        <f t="shared" si="73"/>
        <v>0</v>
      </c>
      <c r="I589" s="214">
        <v>1.5</v>
      </c>
      <c r="J589" s="214">
        <v>0</v>
      </c>
      <c r="K589" s="229">
        <f t="shared" si="74"/>
        <v>0.5</v>
      </c>
    </row>
    <row r="590" spans="2:11" x14ac:dyDescent="0.2">
      <c r="B590" s="215"/>
      <c r="C590" s="215"/>
      <c r="D590" s="216">
        <v>33</v>
      </c>
      <c r="E590" s="266">
        <v>22.5</v>
      </c>
      <c r="F590" s="218">
        <f t="shared" si="75"/>
        <v>122.95081967213115</v>
      </c>
      <c r="G590" s="218">
        <f t="shared" si="72"/>
        <v>-22.950819672131146</v>
      </c>
      <c r="H590" s="219">
        <f t="shared" si="73"/>
        <v>0</v>
      </c>
      <c r="I590" s="214">
        <v>2</v>
      </c>
      <c r="J590" s="214">
        <v>1</v>
      </c>
      <c r="K590" s="237">
        <f t="shared" si="74"/>
        <v>1</v>
      </c>
    </row>
    <row r="591" spans="2:11" x14ac:dyDescent="0.2">
      <c r="B591" s="215"/>
      <c r="C591" s="215" t="s">
        <v>16</v>
      </c>
      <c r="D591" s="216">
        <v>36</v>
      </c>
      <c r="E591" s="227">
        <v>23.4</v>
      </c>
      <c r="F591" s="218">
        <f t="shared" si="75"/>
        <v>127.86885245901638</v>
      </c>
      <c r="G591" s="218">
        <f t="shared" si="72"/>
        <v>-27.868852459016381</v>
      </c>
      <c r="H591" s="219">
        <f t="shared" si="73"/>
        <v>0</v>
      </c>
      <c r="I591" s="214">
        <v>0.5</v>
      </c>
      <c r="J591" s="214">
        <v>3.5</v>
      </c>
      <c r="K591" s="237">
        <f t="shared" si="74"/>
        <v>1.3333333333333333</v>
      </c>
    </row>
    <row r="592" spans="2:11" x14ac:dyDescent="0.2">
      <c r="B592" s="215"/>
      <c r="C592" s="215"/>
      <c r="D592" s="216">
        <v>38</v>
      </c>
      <c r="E592" s="227">
        <v>22.6</v>
      </c>
      <c r="F592" s="218">
        <f t="shared" si="75"/>
        <v>123.49726775956285</v>
      </c>
      <c r="G592" s="218">
        <f t="shared" si="72"/>
        <v>-23.497267759562845</v>
      </c>
      <c r="H592" s="219">
        <f t="shared" si="73"/>
        <v>0</v>
      </c>
      <c r="I592" s="214">
        <v>1</v>
      </c>
      <c r="J592" s="214">
        <v>0</v>
      </c>
      <c r="K592" s="229">
        <f t="shared" si="74"/>
        <v>0.33333333333333331</v>
      </c>
    </row>
    <row r="593" spans="1:11" x14ac:dyDescent="0.2">
      <c r="B593" s="215"/>
      <c r="C593" s="215"/>
      <c r="D593" s="216">
        <v>40</v>
      </c>
      <c r="E593" s="227"/>
      <c r="F593" s="218">
        <f t="shared" si="75"/>
        <v>0</v>
      </c>
      <c r="G593" s="218">
        <f t="shared" si="72"/>
        <v>100</v>
      </c>
      <c r="H593" s="219">
        <f t="shared" si="73"/>
        <v>4</v>
      </c>
      <c r="I593" s="214"/>
      <c r="J593" s="214"/>
      <c r="K593" s="229">
        <f t="shared" si="74"/>
        <v>4</v>
      </c>
    </row>
    <row r="594" spans="1:11" x14ac:dyDescent="0.2">
      <c r="B594" s="215"/>
      <c r="C594" s="215" t="s">
        <v>15</v>
      </c>
      <c r="D594" s="216">
        <v>43</v>
      </c>
      <c r="E594" s="227"/>
      <c r="F594" s="218">
        <f t="shared" si="75"/>
        <v>0</v>
      </c>
      <c r="G594" s="218">
        <f t="shared" si="72"/>
        <v>100</v>
      </c>
      <c r="H594" s="219">
        <f t="shared" si="73"/>
        <v>4</v>
      </c>
      <c r="I594" s="214"/>
      <c r="J594" s="214"/>
      <c r="K594" s="229">
        <f t="shared" si="74"/>
        <v>4</v>
      </c>
    </row>
    <row r="595" spans="1:11" x14ac:dyDescent="0.2">
      <c r="B595" s="215"/>
      <c r="C595" s="215"/>
      <c r="D595" s="216">
        <v>45</v>
      </c>
      <c r="E595" s="227"/>
      <c r="F595" s="218">
        <f t="shared" si="75"/>
        <v>0</v>
      </c>
      <c r="G595" s="218">
        <f t="shared" si="72"/>
        <v>100</v>
      </c>
      <c r="H595" s="219">
        <f t="shared" si="73"/>
        <v>4</v>
      </c>
      <c r="I595" s="214"/>
      <c r="J595" s="214"/>
      <c r="K595" s="229">
        <f t="shared" si="74"/>
        <v>4</v>
      </c>
    </row>
    <row r="596" spans="1:11" x14ac:dyDescent="0.2">
      <c r="B596" s="230"/>
      <c r="C596" s="230"/>
      <c r="D596" s="231">
        <v>47</v>
      </c>
      <c r="E596" s="232"/>
      <c r="F596" s="233">
        <f t="shared" si="75"/>
        <v>0</v>
      </c>
      <c r="G596" s="233">
        <f t="shared" si="72"/>
        <v>100</v>
      </c>
      <c r="H596" s="234">
        <f t="shared" si="73"/>
        <v>4</v>
      </c>
      <c r="I596" s="238"/>
      <c r="J596" s="214"/>
      <c r="K596" s="229">
        <f t="shared" si="74"/>
        <v>4</v>
      </c>
    </row>
    <row r="597" spans="1:11" x14ac:dyDescent="0.2">
      <c r="B597" s="230"/>
      <c r="C597" s="230" t="s">
        <v>16</v>
      </c>
      <c r="D597" s="231">
        <v>50</v>
      </c>
      <c r="E597" s="232"/>
      <c r="F597" s="233">
        <f t="shared" si="75"/>
        <v>0</v>
      </c>
      <c r="G597" s="233">
        <f t="shared" si="72"/>
        <v>100</v>
      </c>
      <c r="H597" s="234">
        <f t="shared" si="73"/>
        <v>4</v>
      </c>
      <c r="I597" s="239"/>
      <c r="J597" s="214"/>
      <c r="K597" s="229">
        <f t="shared" si="74"/>
        <v>4</v>
      </c>
    </row>
    <row r="598" spans="1:11" x14ac:dyDescent="0.2">
      <c r="B598" s="230"/>
      <c r="C598" s="230"/>
      <c r="D598" s="231">
        <v>52</v>
      </c>
      <c r="E598" s="232"/>
      <c r="F598" s="233">
        <f t="shared" si="75"/>
        <v>0</v>
      </c>
      <c r="G598" s="233">
        <f t="shared" si="72"/>
        <v>100</v>
      </c>
      <c r="H598" s="234">
        <f t="shared" si="73"/>
        <v>4</v>
      </c>
      <c r="I598" s="239"/>
      <c r="J598" s="214"/>
      <c r="K598" s="229">
        <f t="shared" si="74"/>
        <v>4</v>
      </c>
    </row>
    <row r="599" spans="1:11" x14ac:dyDescent="0.2">
      <c r="B599" s="230"/>
      <c r="C599" s="230"/>
      <c r="D599" s="231">
        <v>54</v>
      </c>
      <c r="E599" s="232"/>
      <c r="F599" s="233">
        <f t="shared" si="75"/>
        <v>0</v>
      </c>
      <c r="G599" s="233">
        <f t="shared" si="72"/>
        <v>100</v>
      </c>
      <c r="H599" s="234">
        <f t="shared" si="73"/>
        <v>4</v>
      </c>
      <c r="I599" s="239"/>
      <c r="J599" s="214"/>
      <c r="K599" s="229">
        <f t="shared" si="74"/>
        <v>4</v>
      </c>
    </row>
    <row r="600" spans="1:11" x14ac:dyDescent="0.2">
      <c r="B600" s="230"/>
      <c r="C600" s="230" t="s">
        <v>15</v>
      </c>
      <c r="D600" s="231">
        <v>57</v>
      </c>
      <c r="E600" s="308"/>
      <c r="F600" s="233">
        <f t="shared" si="75"/>
        <v>0</v>
      </c>
      <c r="G600" s="233">
        <f t="shared" si="72"/>
        <v>100</v>
      </c>
      <c r="H600" s="234">
        <f t="shared" si="73"/>
        <v>4</v>
      </c>
      <c r="I600" s="239"/>
      <c r="J600" s="214"/>
      <c r="K600" s="229">
        <f t="shared" si="74"/>
        <v>4</v>
      </c>
    </row>
    <row r="601" spans="1:11" x14ac:dyDescent="0.2">
      <c r="B601" s="230"/>
      <c r="C601" s="230"/>
      <c r="D601" s="231">
        <v>59</v>
      </c>
      <c r="E601" s="232"/>
      <c r="F601" s="233">
        <f t="shared" si="75"/>
        <v>0</v>
      </c>
      <c r="G601" s="233">
        <f t="shared" si="72"/>
        <v>100</v>
      </c>
      <c r="H601" s="234">
        <f t="shared" si="73"/>
        <v>4</v>
      </c>
      <c r="I601" s="239"/>
      <c r="J601" s="214"/>
      <c r="K601" s="229">
        <f t="shared" si="74"/>
        <v>4</v>
      </c>
    </row>
    <row r="602" spans="1:11" x14ac:dyDescent="0.2">
      <c r="B602" s="230"/>
      <c r="C602" s="230"/>
      <c r="D602" s="231">
        <v>61</v>
      </c>
      <c r="E602" s="232"/>
      <c r="F602" s="233">
        <f t="shared" si="75"/>
        <v>0</v>
      </c>
      <c r="G602" s="233">
        <f t="shared" si="72"/>
        <v>100</v>
      </c>
      <c r="H602" s="234">
        <f t="shared" si="73"/>
        <v>4</v>
      </c>
      <c r="I602" s="239"/>
      <c r="J602" s="214"/>
      <c r="K602" s="229">
        <f t="shared" si="74"/>
        <v>4</v>
      </c>
    </row>
    <row r="603" spans="1:11" ht="17" thickBot="1" x14ac:dyDescent="0.25">
      <c r="B603" s="241"/>
      <c r="C603" s="241"/>
      <c r="D603" s="242">
        <v>64</v>
      </c>
      <c r="E603" s="243"/>
      <c r="F603" s="244">
        <f t="shared" si="75"/>
        <v>0</v>
      </c>
      <c r="G603" s="244">
        <f t="shared" si="72"/>
        <v>100</v>
      </c>
      <c r="H603" s="245">
        <f t="shared" si="73"/>
        <v>4</v>
      </c>
      <c r="I603" s="297"/>
      <c r="J603" s="298"/>
      <c r="K603" s="246">
        <f t="shared" si="74"/>
        <v>4</v>
      </c>
    </row>
    <row r="604" spans="1:11" x14ac:dyDescent="0.2">
      <c r="A604" s="8" t="s">
        <v>26</v>
      </c>
      <c r="B604" s="209" t="s">
        <v>1</v>
      </c>
      <c r="C604" s="209" t="s">
        <v>21</v>
      </c>
      <c r="D604" s="347">
        <v>1</v>
      </c>
      <c r="E604" s="211">
        <v>19.899999999999999</v>
      </c>
      <c r="F604" s="212">
        <v>100</v>
      </c>
      <c r="G604" s="212">
        <f t="shared" si="72"/>
        <v>0</v>
      </c>
      <c r="H604" s="213">
        <f t="shared" si="73"/>
        <v>0</v>
      </c>
      <c r="I604" s="214">
        <v>0</v>
      </c>
      <c r="J604" s="214">
        <v>0</v>
      </c>
      <c r="K604" s="213">
        <f t="shared" si="74"/>
        <v>0</v>
      </c>
    </row>
    <row r="605" spans="1:11" x14ac:dyDescent="0.2">
      <c r="B605" s="215"/>
      <c r="C605" s="215"/>
      <c r="D605" s="216">
        <v>3</v>
      </c>
      <c r="E605" s="217">
        <v>18.600000000000001</v>
      </c>
      <c r="F605" s="218">
        <f t="shared" ref="F605:F631" si="76">E605/$E$604*100</f>
        <v>93.467336683417102</v>
      </c>
      <c r="G605" s="218">
        <f t="shared" si="72"/>
        <v>6.532663316582898</v>
      </c>
      <c r="H605" s="219">
        <f t="shared" si="73"/>
        <v>2</v>
      </c>
      <c r="I605" s="220">
        <v>1.5</v>
      </c>
      <c r="J605" s="214">
        <v>0</v>
      </c>
      <c r="K605" s="219">
        <f t="shared" si="74"/>
        <v>1.1666666666666667</v>
      </c>
    </row>
    <row r="606" spans="1:11" x14ac:dyDescent="0.2">
      <c r="B606" s="215"/>
      <c r="C606" s="215"/>
      <c r="D606" s="216">
        <v>5</v>
      </c>
      <c r="E606" s="217">
        <v>19.899999999999999</v>
      </c>
      <c r="F606" s="218">
        <f t="shared" si="76"/>
        <v>100</v>
      </c>
      <c r="G606" s="218">
        <f t="shared" si="72"/>
        <v>0</v>
      </c>
      <c r="H606" s="219">
        <f t="shared" si="73"/>
        <v>0</v>
      </c>
      <c r="I606" s="220">
        <v>1.5</v>
      </c>
      <c r="J606" s="214">
        <v>0</v>
      </c>
      <c r="K606" s="219">
        <f t="shared" si="74"/>
        <v>0.5</v>
      </c>
    </row>
    <row r="607" spans="1:11" x14ac:dyDescent="0.2">
      <c r="B607" s="215"/>
      <c r="C607" s="215"/>
      <c r="D607" s="216">
        <v>8</v>
      </c>
      <c r="E607" s="221">
        <v>21</v>
      </c>
      <c r="F607" s="218">
        <f t="shared" si="76"/>
        <v>105.52763819095479</v>
      </c>
      <c r="G607" s="218">
        <f t="shared" si="72"/>
        <v>-5.5276381909547894</v>
      </c>
      <c r="H607" s="219">
        <f t="shared" si="73"/>
        <v>0</v>
      </c>
      <c r="I607" s="220">
        <v>2</v>
      </c>
      <c r="J607" s="214">
        <v>0</v>
      </c>
      <c r="K607" s="219">
        <f t="shared" si="74"/>
        <v>0.66666666666666663</v>
      </c>
    </row>
    <row r="608" spans="1:11" x14ac:dyDescent="0.2">
      <c r="B608" s="215"/>
      <c r="C608" s="215"/>
      <c r="D608" s="216">
        <v>10</v>
      </c>
      <c r="E608" s="221">
        <v>21.9</v>
      </c>
      <c r="F608" s="218">
        <f>E608/$E$604*100</f>
        <v>110.0502512562814</v>
      </c>
      <c r="G608" s="218">
        <f t="shared" si="72"/>
        <v>-10.050251256281399</v>
      </c>
      <c r="H608" s="219">
        <f t="shared" si="73"/>
        <v>0</v>
      </c>
      <c r="I608" s="220">
        <v>2.5</v>
      </c>
      <c r="J608" s="214">
        <v>0</v>
      </c>
      <c r="K608" s="219">
        <f t="shared" si="74"/>
        <v>0.83333333333333337</v>
      </c>
    </row>
    <row r="609" spans="2:11" x14ac:dyDescent="0.2">
      <c r="B609" s="215"/>
      <c r="C609" s="215"/>
      <c r="D609" s="216">
        <v>12</v>
      </c>
      <c r="E609" s="221">
        <v>22.3</v>
      </c>
      <c r="F609" s="218">
        <f t="shared" si="76"/>
        <v>112.0603015075377</v>
      </c>
      <c r="G609" s="218">
        <f t="shared" si="72"/>
        <v>-12.060301507537702</v>
      </c>
      <c r="H609" s="219">
        <f t="shared" si="73"/>
        <v>0</v>
      </c>
      <c r="I609" s="220">
        <v>2.5</v>
      </c>
      <c r="J609" s="214">
        <v>0</v>
      </c>
      <c r="K609" s="219">
        <f t="shared" si="74"/>
        <v>0.83333333333333337</v>
      </c>
    </row>
    <row r="610" spans="2:11" x14ac:dyDescent="0.2">
      <c r="B610" s="222"/>
      <c r="C610" s="222" t="s">
        <v>4</v>
      </c>
      <c r="D610" s="223">
        <v>15</v>
      </c>
      <c r="E610" s="221">
        <v>23.2</v>
      </c>
      <c r="F610" s="218">
        <f t="shared" si="76"/>
        <v>116.58291457286431</v>
      </c>
      <c r="G610" s="224">
        <f t="shared" si="72"/>
        <v>-16.582914572864311</v>
      </c>
      <c r="H610" s="225">
        <f t="shared" si="73"/>
        <v>0</v>
      </c>
      <c r="I610" s="226">
        <v>2.5</v>
      </c>
      <c r="J610" s="214">
        <v>0</v>
      </c>
      <c r="K610" s="219">
        <f t="shared" si="74"/>
        <v>0.83333333333333337</v>
      </c>
    </row>
    <row r="611" spans="2:11" x14ac:dyDescent="0.2">
      <c r="B611" s="215"/>
      <c r="C611" s="215" t="s">
        <v>3</v>
      </c>
      <c r="D611" s="216">
        <v>17</v>
      </c>
      <c r="E611" s="227">
        <v>21.7</v>
      </c>
      <c r="F611" s="218">
        <f t="shared" si="76"/>
        <v>109.04522613065326</v>
      </c>
      <c r="G611" s="218">
        <f t="shared" si="72"/>
        <v>-9.045226130653262</v>
      </c>
      <c r="H611" s="219">
        <f t="shared" si="73"/>
        <v>0</v>
      </c>
      <c r="I611" s="220">
        <v>3.5</v>
      </c>
      <c r="J611" s="214">
        <v>0</v>
      </c>
      <c r="K611" s="228">
        <f t="shared" si="74"/>
        <v>1.1666666666666667</v>
      </c>
    </row>
    <row r="612" spans="2:11" x14ac:dyDescent="0.2">
      <c r="B612" s="215"/>
      <c r="C612" s="215"/>
      <c r="D612" s="216">
        <v>19</v>
      </c>
      <c r="E612" s="227">
        <v>22</v>
      </c>
      <c r="F612" s="218">
        <f t="shared" si="76"/>
        <v>110.55276381909549</v>
      </c>
      <c r="G612" s="218">
        <f t="shared" si="72"/>
        <v>-10.552763819095489</v>
      </c>
      <c r="H612" s="219">
        <f t="shared" si="73"/>
        <v>0</v>
      </c>
      <c r="I612" s="220">
        <v>2</v>
      </c>
      <c r="J612" s="214">
        <v>0</v>
      </c>
      <c r="K612" s="229">
        <f t="shared" si="74"/>
        <v>0.66666666666666663</v>
      </c>
    </row>
    <row r="613" spans="2:11" x14ac:dyDescent="0.2">
      <c r="B613" s="215"/>
      <c r="C613" s="215"/>
      <c r="D613" s="216">
        <v>22</v>
      </c>
      <c r="E613" s="227">
        <v>21.9</v>
      </c>
      <c r="F613" s="218">
        <f t="shared" si="76"/>
        <v>110.0502512562814</v>
      </c>
      <c r="G613" s="218">
        <f t="shared" si="72"/>
        <v>-10.050251256281399</v>
      </c>
      <c r="H613" s="219">
        <f t="shared" si="73"/>
        <v>0</v>
      </c>
      <c r="I613" s="220">
        <v>2.5</v>
      </c>
      <c r="J613" s="214">
        <v>0</v>
      </c>
      <c r="K613" s="229">
        <f t="shared" si="74"/>
        <v>0.83333333333333337</v>
      </c>
    </row>
    <row r="614" spans="2:11" x14ac:dyDescent="0.2">
      <c r="B614" s="215"/>
      <c r="C614" s="215"/>
      <c r="D614" s="216">
        <v>24</v>
      </c>
      <c r="E614" s="261">
        <v>23</v>
      </c>
      <c r="F614" s="218">
        <f t="shared" si="76"/>
        <v>115.57788944723619</v>
      </c>
      <c r="G614" s="218">
        <f t="shared" si="72"/>
        <v>-15.577889447236188</v>
      </c>
      <c r="H614" s="219">
        <f t="shared" si="73"/>
        <v>0</v>
      </c>
      <c r="I614" s="220">
        <v>1</v>
      </c>
      <c r="J614" s="214">
        <v>0</v>
      </c>
      <c r="K614" s="229">
        <f t="shared" si="74"/>
        <v>0.33333333333333331</v>
      </c>
    </row>
    <row r="615" spans="2:11" x14ac:dyDescent="0.2">
      <c r="B615" s="230"/>
      <c r="C615" s="230"/>
      <c r="D615" s="231">
        <v>26</v>
      </c>
      <c r="E615" s="232">
        <v>23.1</v>
      </c>
      <c r="F615" s="218">
        <f t="shared" si="76"/>
        <v>116.08040201005028</v>
      </c>
      <c r="G615" s="233">
        <f t="shared" si="72"/>
        <v>-16.080402010050278</v>
      </c>
      <c r="H615" s="234">
        <f t="shared" si="73"/>
        <v>0</v>
      </c>
      <c r="I615" s="235">
        <v>2.5</v>
      </c>
      <c r="J615" s="214">
        <v>0</v>
      </c>
      <c r="K615" s="229">
        <f t="shared" si="74"/>
        <v>0.83333333333333337</v>
      </c>
    </row>
    <row r="616" spans="2:11" x14ac:dyDescent="0.2">
      <c r="B616" s="230"/>
      <c r="C616" s="230"/>
      <c r="D616" s="231">
        <v>29</v>
      </c>
      <c r="E616" s="232">
        <v>23.4</v>
      </c>
      <c r="F616" s="218">
        <f t="shared" si="76"/>
        <v>117.58793969849246</v>
      </c>
      <c r="G616" s="233">
        <f t="shared" si="72"/>
        <v>-17.587939698492463</v>
      </c>
      <c r="H616" s="234">
        <f t="shared" si="73"/>
        <v>0</v>
      </c>
      <c r="I616" s="235">
        <v>1.5</v>
      </c>
      <c r="J616" s="214">
        <v>0</v>
      </c>
      <c r="K616" s="229">
        <f t="shared" si="74"/>
        <v>0.5</v>
      </c>
    </row>
    <row r="617" spans="2:11" x14ac:dyDescent="0.2">
      <c r="B617" s="209"/>
      <c r="C617" s="209" t="s">
        <v>15</v>
      </c>
      <c r="D617" s="210">
        <v>31</v>
      </c>
      <c r="E617" s="236">
        <v>23.5</v>
      </c>
      <c r="F617" s="218">
        <f t="shared" si="76"/>
        <v>118.09045226130654</v>
      </c>
      <c r="G617" s="212">
        <f t="shared" si="72"/>
        <v>-18.090452261306538</v>
      </c>
      <c r="H617" s="213">
        <f t="shared" si="73"/>
        <v>0</v>
      </c>
      <c r="I617" s="214">
        <v>2</v>
      </c>
      <c r="J617" s="214">
        <v>0</v>
      </c>
      <c r="K617" s="229">
        <f t="shared" si="74"/>
        <v>0.66666666666666663</v>
      </c>
    </row>
    <row r="618" spans="2:11" x14ac:dyDescent="0.2">
      <c r="B618" s="215"/>
      <c r="C618" s="215"/>
      <c r="D618" s="216">
        <v>33</v>
      </c>
      <c r="E618" s="266">
        <v>23.4</v>
      </c>
      <c r="F618" s="218">
        <f t="shared" si="76"/>
        <v>117.58793969849246</v>
      </c>
      <c r="G618" s="218">
        <f t="shared" si="72"/>
        <v>-17.587939698492463</v>
      </c>
      <c r="H618" s="219">
        <f t="shared" si="73"/>
        <v>0</v>
      </c>
      <c r="I618" s="214">
        <v>2</v>
      </c>
      <c r="J618" s="214">
        <v>1</v>
      </c>
      <c r="K618" s="229">
        <f t="shared" si="74"/>
        <v>1</v>
      </c>
    </row>
    <row r="619" spans="2:11" x14ac:dyDescent="0.2">
      <c r="B619" s="215"/>
      <c r="C619" s="215" t="s">
        <v>16</v>
      </c>
      <c r="D619" s="216">
        <v>36</v>
      </c>
      <c r="E619" s="227">
        <v>24.1</v>
      </c>
      <c r="F619" s="218">
        <f t="shared" si="76"/>
        <v>121.10552763819098</v>
      </c>
      <c r="G619" s="218">
        <f t="shared" si="72"/>
        <v>-21.105527638190978</v>
      </c>
      <c r="H619" s="219">
        <f t="shared" si="73"/>
        <v>0</v>
      </c>
      <c r="I619" s="214">
        <v>4</v>
      </c>
      <c r="J619" s="214">
        <v>3.5</v>
      </c>
      <c r="K619" s="237">
        <f t="shared" si="74"/>
        <v>2.5</v>
      </c>
    </row>
    <row r="620" spans="2:11" x14ac:dyDescent="0.2">
      <c r="B620" s="215"/>
      <c r="C620" s="215"/>
      <c r="D620" s="216">
        <v>38</v>
      </c>
      <c r="E620" s="227">
        <v>24.9</v>
      </c>
      <c r="F620" s="218">
        <f t="shared" si="76"/>
        <v>125.12562814070351</v>
      </c>
      <c r="G620" s="218">
        <f t="shared" si="72"/>
        <v>-25.125628140703512</v>
      </c>
      <c r="H620" s="219">
        <f t="shared" si="73"/>
        <v>0</v>
      </c>
      <c r="I620" s="214">
        <v>1.5</v>
      </c>
      <c r="J620" s="214">
        <v>0</v>
      </c>
      <c r="K620" s="229">
        <f t="shared" si="74"/>
        <v>0.5</v>
      </c>
    </row>
    <row r="621" spans="2:11" x14ac:dyDescent="0.2">
      <c r="B621" s="215"/>
      <c r="C621" s="215"/>
      <c r="D621" s="216">
        <v>40</v>
      </c>
      <c r="E621" s="261"/>
      <c r="F621" s="218">
        <f t="shared" si="76"/>
        <v>0</v>
      </c>
      <c r="G621" s="218">
        <f t="shared" si="72"/>
        <v>100</v>
      </c>
      <c r="H621" s="219">
        <f t="shared" si="73"/>
        <v>4</v>
      </c>
      <c r="I621" s="214"/>
      <c r="J621" s="214"/>
      <c r="K621" s="237">
        <f t="shared" si="74"/>
        <v>4</v>
      </c>
    </row>
    <row r="622" spans="2:11" x14ac:dyDescent="0.2">
      <c r="B622" s="215"/>
      <c r="C622" s="215" t="s">
        <v>15</v>
      </c>
      <c r="D622" s="216">
        <v>43</v>
      </c>
      <c r="E622" s="227"/>
      <c r="F622" s="218">
        <f t="shared" si="76"/>
        <v>0</v>
      </c>
      <c r="G622" s="218">
        <f t="shared" si="72"/>
        <v>100</v>
      </c>
      <c r="H622" s="219">
        <f t="shared" si="73"/>
        <v>4</v>
      </c>
      <c r="I622" s="214"/>
      <c r="J622" s="214"/>
      <c r="K622" s="229">
        <f t="shared" si="74"/>
        <v>4</v>
      </c>
    </row>
    <row r="623" spans="2:11" x14ac:dyDescent="0.2">
      <c r="B623" s="215"/>
      <c r="C623" s="215"/>
      <c r="D623" s="216">
        <v>45</v>
      </c>
      <c r="E623" s="227"/>
      <c r="F623" s="218">
        <f t="shared" si="76"/>
        <v>0</v>
      </c>
      <c r="G623" s="218">
        <f t="shared" si="72"/>
        <v>100</v>
      </c>
      <c r="H623" s="219">
        <f t="shared" si="73"/>
        <v>4</v>
      </c>
      <c r="I623" s="214"/>
      <c r="J623" s="214"/>
      <c r="K623" s="229">
        <f t="shared" si="74"/>
        <v>4</v>
      </c>
    </row>
    <row r="624" spans="2:11" x14ac:dyDescent="0.2">
      <c r="B624" s="230"/>
      <c r="C624" s="230"/>
      <c r="D624" s="231">
        <v>47</v>
      </c>
      <c r="E624" s="232"/>
      <c r="F624" s="233">
        <f t="shared" si="76"/>
        <v>0</v>
      </c>
      <c r="G624" s="233">
        <f t="shared" si="72"/>
        <v>100</v>
      </c>
      <c r="H624" s="234">
        <f t="shared" si="73"/>
        <v>4</v>
      </c>
      <c r="I624" s="238"/>
      <c r="J624" s="214"/>
      <c r="K624" s="229">
        <f t="shared" si="74"/>
        <v>4</v>
      </c>
    </row>
    <row r="625" spans="1:11" x14ac:dyDescent="0.2">
      <c r="B625" s="230"/>
      <c r="C625" s="230" t="s">
        <v>16</v>
      </c>
      <c r="D625" s="231">
        <v>50</v>
      </c>
      <c r="E625" s="232"/>
      <c r="F625" s="218">
        <f t="shared" si="76"/>
        <v>0</v>
      </c>
      <c r="G625" s="218">
        <f t="shared" si="72"/>
        <v>100</v>
      </c>
      <c r="H625" s="219">
        <f t="shared" si="73"/>
        <v>4</v>
      </c>
      <c r="I625" s="239"/>
      <c r="J625" s="214"/>
      <c r="K625" s="229">
        <f t="shared" si="74"/>
        <v>4</v>
      </c>
    </row>
    <row r="626" spans="1:11" x14ac:dyDescent="0.2">
      <c r="B626" s="230"/>
      <c r="C626" s="230"/>
      <c r="D626" s="231">
        <v>52</v>
      </c>
      <c r="E626" s="232"/>
      <c r="F626" s="233">
        <f t="shared" si="76"/>
        <v>0</v>
      </c>
      <c r="G626" s="233">
        <f t="shared" si="72"/>
        <v>100</v>
      </c>
      <c r="H626" s="234">
        <f t="shared" si="73"/>
        <v>4</v>
      </c>
      <c r="I626" s="239"/>
      <c r="J626" s="214"/>
      <c r="K626" s="229">
        <f t="shared" si="74"/>
        <v>4</v>
      </c>
    </row>
    <row r="627" spans="1:11" x14ac:dyDescent="0.2">
      <c r="B627" s="230"/>
      <c r="C627" s="230"/>
      <c r="D627" s="231">
        <v>54</v>
      </c>
      <c r="E627" s="232"/>
      <c r="F627" s="233">
        <f t="shared" si="76"/>
        <v>0</v>
      </c>
      <c r="G627" s="233">
        <f t="shared" si="72"/>
        <v>100</v>
      </c>
      <c r="H627" s="234">
        <f t="shared" si="73"/>
        <v>4</v>
      </c>
      <c r="I627" s="239"/>
      <c r="J627" s="214"/>
      <c r="K627" s="229">
        <f t="shared" si="74"/>
        <v>4</v>
      </c>
    </row>
    <row r="628" spans="1:11" x14ac:dyDescent="0.2">
      <c r="B628" s="230"/>
      <c r="C628" s="230" t="s">
        <v>15</v>
      </c>
      <c r="D628" s="231">
        <v>57</v>
      </c>
      <c r="E628" s="308"/>
      <c r="F628" s="233">
        <f t="shared" si="76"/>
        <v>0</v>
      </c>
      <c r="G628" s="233">
        <f t="shared" si="72"/>
        <v>100</v>
      </c>
      <c r="H628" s="234">
        <f t="shared" si="73"/>
        <v>4</v>
      </c>
      <c r="I628" s="239"/>
      <c r="J628" s="214"/>
      <c r="K628" s="229">
        <f t="shared" si="74"/>
        <v>4</v>
      </c>
    </row>
    <row r="629" spans="1:11" x14ac:dyDescent="0.2">
      <c r="B629" s="230"/>
      <c r="C629" s="230"/>
      <c r="D629" s="231">
        <v>59</v>
      </c>
      <c r="E629" s="232"/>
      <c r="F629" s="233">
        <f t="shared" si="76"/>
        <v>0</v>
      </c>
      <c r="G629" s="233">
        <f t="shared" si="72"/>
        <v>100</v>
      </c>
      <c r="H629" s="234">
        <f t="shared" si="73"/>
        <v>4</v>
      </c>
      <c r="I629" s="239"/>
      <c r="J629" s="214"/>
      <c r="K629" s="229">
        <f t="shared" si="74"/>
        <v>4</v>
      </c>
    </row>
    <row r="630" spans="1:11" x14ac:dyDescent="0.2">
      <c r="B630" s="230"/>
      <c r="C630" s="230"/>
      <c r="D630" s="231">
        <v>61</v>
      </c>
      <c r="E630" s="232"/>
      <c r="F630" s="233">
        <f t="shared" si="76"/>
        <v>0</v>
      </c>
      <c r="G630" s="233">
        <f t="shared" si="72"/>
        <v>100</v>
      </c>
      <c r="H630" s="234">
        <f t="shared" si="73"/>
        <v>4</v>
      </c>
      <c r="I630" s="239"/>
      <c r="J630" s="214"/>
      <c r="K630" s="229">
        <f t="shared" si="74"/>
        <v>4</v>
      </c>
    </row>
    <row r="631" spans="1:11" ht="17" thickBot="1" x14ac:dyDescent="0.25">
      <c r="B631" s="241"/>
      <c r="C631" s="241"/>
      <c r="D631" s="242">
        <v>64</v>
      </c>
      <c r="E631" s="243"/>
      <c r="F631" s="244">
        <f t="shared" si="76"/>
        <v>0</v>
      </c>
      <c r="G631" s="244">
        <f t="shared" si="72"/>
        <v>100</v>
      </c>
      <c r="H631" s="245">
        <f t="shared" si="73"/>
        <v>4</v>
      </c>
      <c r="I631" s="297"/>
      <c r="J631" s="298"/>
      <c r="K631" s="246">
        <f t="shared" si="74"/>
        <v>4</v>
      </c>
    </row>
    <row r="632" spans="1:11" x14ac:dyDescent="0.2">
      <c r="A632" s="8" t="s">
        <v>26</v>
      </c>
      <c r="B632" s="247" t="s">
        <v>2</v>
      </c>
      <c r="C632" s="248" t="s">
        <v>21</v>
      </c>
      <c r="D632" s="347">
        <v>1</v>
      </c>
      <c r="E632" s="249">
        <v>19.8</v>
      </c>
      <c r="F632" s="259">
        <v>100</v>
      </c>
      <c r="G632" s="250">
        <f t="shared" si="72"/>
        <v>0</v>
      </c>
      <c r="H632" s="251">
        <f t="shared" si="73"/>
        <v>0</v>
      </c>
      <c r="I632" s="240">
        <v>0</v>
      </c>
      <c r="J632" s="240">
        <v>0</v>
      </c>
      <c r="K632" s="213">
        <f t="shared" si="74"/>
        <v>0</v>
      </c>
    </row>
    <row r="633" spans="1:11" x14ac:dyDescent="0.2">
      <c r="B633" s="252"/>
      <c r="C633" s="252"/>
      <c r="D633" s="216">
        <v>3</v>
      </c>
      <c r="E633" s="253">
        <v>18</v>
      </c>
      <c r="F633" s="260">
        <f t="shared" ref="F633:F659" si="77">E633/$E$632*100</f>
        <v>90.909090909090907</v>
      </c>
      <c r="G633" s="254">
        <f t="shared" si="72"/>
        <v>9.0909090909090935</v>
      </c>
      <c r="H633" s="255">
        <f t="shared" si="73"/>
        <v>2</v>
      </c>
      <c r="I633" s="256">
        <v>1</v>
      </c>
      <c r="J633" s="256">
        <v>0</v>
      </c>
      <c r="K633" s="213">
        <f t="shared" si="74"/>
        <v>1</v>
      </c>
    </row>
    <row r="634" spans="1:11" x14ac:dyDescent="0.2">
      <c r="B634" s="252"/>
      <c r="C634" s="252"/>
      <c r="D634" s="216">
        <v>5</v>
      </c>
      <c r="E634" s="253">
        <v>19.5</v>
      </c>
      <c r="F634" s="260">
        <f t="shared" si="77"/>
        <v>98.484848484848484</v>
      </c>
      <c r="G634" s="254">
        <f t="shared" si="72"/>
        <v>1.5151515151515156</v>
      </c>
      <c r="H634" s="255">
        <f t="shared" si="73"/>
        <v>1</v>
      </c>
      <c r="I634" s="256">
        <v>1</v>
      </c>
      <c r="J634" s="256">
        <v>0</v>
      </c>
      <c r="K634" s="213">
        <f t="shared" si="74"/>
        <v>0.66666666666666663</v>
      </c>
    </row>
    <row r="635" spans="1:11" x14ac:dyDescent="0.2">
      <c r="B635" s="252"/>
      <c r="C635" s="252"/>
      <c r="D635" s="216">
        <v>8</v>
      </c>
      <c r="E635" s="253">
        <v>20.6</v>
      </c>
      <c r="F635" s="260">
        <f t="shared" si="77"/>
        <v>104.04040404040404</v>
      </c>
      <c r="G635" s="254">
        <f t="shared" si="72"/>
        <v>-4.0404040404040416</v>
      </c>
      <c r="H635" s="255">
        <f t="shared" si="73"/>
        <v>0</v>
      </c>
      <c r="I635" s="256">
        <v>2</v>
      </c>
      <c r="J635" s="256">
        <v>0</v>
      </c>
      <c r="K635" s="213">
        <f t="shared" si="74"/>
        <v>0.66666666666666663</v>
      </c>
    </row>
    <row r="636" spans="1:11" x14ac:dyDescent="0.2">
      <c r="B636" s="252"/>
      <c r="C636" s="252"/>
      <c r="D636" s="216">
        <v>10</v>
      </c>
      <c r="E636" s="253">
        <v>20.9</v>
      </c>
      <c r="F636" s="260">
        <f t="shared" si="77"/>
        <v>105.55555555555554</v>
      </c>
      <c r="G636" s="254">
        <f t="shared" si="72"/>
        <v>-5.5555555555555429</v>
      </c>
      <c r="H636" s="255">
        <f t="shared" si="73"/>
        <v>0</v>
      </c>
      <c r="I636" s="256">
        <v>2</v>
      </c>
      <c r="J636" s="256">
        <v>0</v>
      </c>
      <c r="K636" s="213">
        <f t="shared" si="74"/>
        <v>0.66666666666666663</v>
      </c>
    </row>
    <row r="637" spans="1:11" x14ac:dyDescent="0.2">
      <c r="B637" s="252"/>
      <c r="C637" s="252"/>
      <c r="D637" s="216">
        <v>12</v>
      </c>
      <c r="E637" s="253">
        <v>21.7</v>
      </c>
      <c r="F637" s="260">
        <f t="shared" si="77"/>
        <v>109.59595959595958</v>
      </c>
      <c r="G637" s="254">
        <f t="shared" si="72"/>
        <v>-9.5959595959595845</v>
      </c>
      <c r="H637" s="255">
        <f t="shared" si="73"/>
        <v>0</v>
      </c>
      <c r="I637" s="256">
        <v>2</v>
      </c>
      <c r="J637" s="256">
        <v>0</v>
      </c>
      <c r="K637" s="213">
        <f t="shared" si="74"/>
        <v>0.66666666666666663</v>
      </c>
    </row>
    <row r="638" spans="1:11" x14ac:dyDescent="0.2">
      <c r="B638" s="252"/>
      <c r="C638" s="257" t="s">
        <v>4</v>
      </c>
      <c r="D638" s="223">
        <v>15</v>
      </c>
      <c r="E638" s="253">
        <v>22.3</v>
      </c>
      <c r="F638" s="260">
        <f t="shared" si="77"/>
        <v>112.62626262626263</v>
      </c>
      <c r="G638" s="254">
        <f t="shared" si="72"/>
        <v>-12.62626262626263</v>
      </c>
      <c r="H638" s="255">
        <f t="shared" si="73"/>
        <v>0</v>
      </c>
      <c r="I638" s="256">
        <v>3</v>
      </c>
      <c r="J638" s="256">
        <v>0</v>
      </c>
      <c r="K638" s="213">
        <f t="shared" si="74"/>
        <v>1</v>
      </c>
    </row>
    <row r="639" spans="1:11" x14ac:dyDescent="0.2">
      <c r="B639" s="252"/>
      <c r="C639" s="252" t="s">
        <v>3</v>
      </c>
      <c r="D639" s="216">
        <v>17</v>
      </c>
      <c r="E639" s="253">
        <v>21.3</v>
      </c>
      <c r="F639" s="260">
        <f t="shared" si="77"/>
        <v>107.57575757575756</v>
      </c>
      <c r="G639" s="254">
        <f t="shared" si="72"/>
        <v>-7.5757575757575637</v>
      </c>
      <c r="H639" s="255">
        <f t="shared" si="73"/>
        <v>0</v>
      </c>
      <c r="I639" s="256">
        <v>2.5</v>
      </c>
      <c r="J639" s="256">
        <v>0</v>
      </c>
      <c r="K639" s="213">
        <f t="shared" si="74"/>
        <v>0.83333333333333337</v>
      </c>
    </row>
    <row r="640" spans="1:11" x14ac:dyDescent="0.2">
      <c r="B640" s="252"/>
      <c r="C640" s="252"/>
      <c r="D640" s="216">
        <v>19</v>
      </c>
      <c r="E640" s="253">
        <v>20.9</v>
      </c>
      <c r="F640" s="260">
        <f t="shared" si="77"/>
        <v>105.55555555555554</v>
      </c>
      <c r="G640" s="254">
        <f>100-F640</f>
        <v>-5.5555555555555429</v>
      </c>
      <c r="H640" s="255">
        <f t="shared" ref="H640:H667" si="78">IF(G640&lt;=1, 0, IF(AND(G640&gt;1, G640&lt;=5), 1, IF(AND(G640&gt;5, G640&lt;=10), 2, IF(AND(G640&gt;10, G640&lt;=15), 3, 4))))</f>
        <v>0</v>
      </c>
      <c r="I640" s="256">
        <v>2</v>
      </c>
      <c r="J640" s="256">
        <v>0</v>
      </c>
      <c r="K640" s="213">
        <f t="shared" ref="K640:K667" si="79">AVERAGE(H640:J640)</f>
        <v>0.66666666666666663</v>
      </c>
    </row>
    <row r="641" spans="1:11" x14ac:dyDescent="0.2">
      <c r="A641" s="7"/>
      <c r="B641" s="252"/>
      <c r="C641" s="252"/>
      <c r="D641" s="216">
        <v>22</v>
      </c>
      <c r="E641" s="253">
        <v>22</v>
      </c>
      <c r="F641" s="260">
        <f t="shared" si="77"/>
        <v>111.11111111111111</v>
      </c>
      <c r="G641" s="254">
        <f t="shared" ref="G641:G667" si="80">100-F641</f>
        <v>-11.111111111111114</v>
      </c>
      <c r="H641" s="255">
        <f t="shared" si="78"/>
        <v>0</v>
      </c>
      <c r="I641" s="256">
        <v>1.5</v>
      </c>
      <c r="J641" s="256">
        <v>0</v>
      </c>
      <c r="K641" s="213">
        <f t="shared" si="79"/>
        <v>0.5</v>
      </c>
    </row>
    <row r="642" spans="1:11" x14ac:dyDescent="0.2">
      <c r="A642" s="7"/>
      <c r="B642" s="252"/>
      <c r="C642" s="252"/>
      <c r="D642" s="216">
        <v>24</v>
      </c>
      <c r="E642" s="253">
        <v>22.5</v>
      </c>
      <c r="F642" s="260">
        <f t="shared" si="77"/>
        <v>113.63636363636363</v>
      </c>
      <c r="G642" s="254">
        <f t="shared" si="80"/>
        <v>-13.636363636363626</v>
      </c>
      <c r="H642" s="255">
        <f t="shared" si="78"/>
        <v>0</v>
      </c>
      <c r="I642" s="256">
        <v>2</v>
      </c>
      <c r="J642" s="256">
        <v>0</v>
      </c>
      <c r="K642" s="213">
        <f t="shared" si="79"/>
        <v>0.66666666666666663</v>
      </c>
    </row>
    <row r="643" spans="1:11" x14ac:dyDescent="0.2">
      <c r="A643" s="7"/>
      <c r="B643" s="252"/>
      <c r="C643" s="252"/>
      <c r="D643" s="231">
        <v>26</v>
      </c>
      <c r="E643" s="253">
        <v>22.6</v>
      </c>
      <c r="F643" s="260">
        <f t="shared" si="77"/>
        <v>114.14141414141415</v>
      </c>
      <c r="G643" s="254">
        <f t="shared" si="80"/>
        <v>-14.141414141414145</v>
      </c>
      <c r="H643" s="255">
        <f t="shared" si="78"/>
        <v>0</v>
      </c>
      <c r="I643" s="256">
        <v>0.5</v>
      </c>
      <c r="J643" s="256">
        <v>0</v>
      </c>
      <c r="K643" s="213">
        <f t="shared" si="79"/>
        <v>0.16666666666666666</v>
      </c>
    </row>
    <row r="644" spans="1:11" x14ac:dyDescent="0.2">
      <c r="A644" s="7"/>
      <c r="B644" s="252"/>
      <c r="C644" s="252"/>
      <c r="D644" s="231">
        <v>29</v>
      </c>
      <c r="E644" s="253">
        <v>24.6</v>
      </c>
      <c r="F644" s="260">
        <f t="shared" si="77"/>
        <v>124.24242424242425</v>
      </c>
      <c r="G644" s="254">
        <f t="shared" si="80"/>
        <v>-24.242424242424249</v>
      </c>
      <c r="H644" s="255">
        <f t="shared" si="78"/>
        <v>0</v>
      </c>
      <c r="I644" s="256">
        <v>2</v>
      </c>
      <c r="J644" s="256">
        <v>0</v>
      </c>
      <c r="K644" s="213">
        <f t="shared" si="79"/>
        <v>0.66666666666666663</v>
      </c>
    </row>
    <row r="645" spans="1:11" x14ac:dyDescent="0.2">
      <c r="A645" s="7"/>
      <c r="B645" s="252"/>
      <c r="C645" s="252" t="s">
        <v>15</v>
      </c>
      <c r="D645" s="210">
        <v>31</v>
      </c>
      <c r="E645" s="253">
        <v>23.9</v>
      </c>
      <c r="F645" s="260">
        <f t="shared" si="77"/>
        <v>120.7070707070707</v>
      </c>
      <c r="G645" s="254">
        <f t="shared" si="80"/>
        <v>-20.707070707070699</v>
      </c>
      <c r="H645" s="255">
        <f t="shared" si="78"/>
        <v>0</v>
      </c>
      <c r="I645" s="256">
        <v>1.5</v>
      </c>
      <c r="J645" s="256">
        <v>0</v>
      </c>
      <c r="K645" s="213">
        <f>AVERAGE(H645:J645)</f>
        <v>0.5</v>
      </c>
    </row>
    <row r="646" spans="1:11" x14ac:dyDescent="0.2">
      <c r="B646" s="252"/>
      <c r="C646" s="252"/>
      <c r="D646" s="216">
        <v>33</v>
      </c>
      <c r="E646" s="253">
        <v>22.9</v>
      </c>
      <c r="F646" s="254">
        <f t="shared" si="77"/>
        <v>115.65656565656563</v>
      </c>
      <c r="G646" s="254">
        <f t="shared" si="80"/>
        <v>-15.656565656565633</v>
      </c>
      <c r="H646" s="255">
        <f t="shared" si="78"/>
        <v>0</v>
      </c>
      <c r="I646" s="256">
        <v>3</v>
      </c>
      <c r="J646" s="256">
        <v>1</v>
      </c>
      <c r="K646" s="1">
        <f t="shared" si="79"/>
        <v>1.3333333333333333</v>
      </c>
    </row>
    <row r="647" spans="1:11" x14ac:dyDescent="0.2">
      <c r="B647" s="252"/>
      <c r="C647" s="252" t="s">
        <v>16</v>
      </c>
      <c r="D647" s="216">
        <v>36</v>
      </c>
      <c r="E647" s="253">
        <v>22.8</v>
      </c>
      <c r="F647" s="254">
        <f t="shared" si="77"/>
        <v>115.15151515151516</v>
      </c>
      <c r="G647" s="254">
        <f t="shared" si="80"/>
        <v>-15.151515151515156</v>
      </c>
      <c r="H647" s="255">
        <f t="shared" si="78"/>
        <v>0</v>
      </c>
      <c r="I647" s="256">
        <v>2</v>
      </c>
      <c r="J647" s="256">
        <v>2</v>
      </c>
      <c r="K647" s="1">
        <f t="shared" si="79"/>
        <v>1.3333333333333333</v>
      </c>
    </row>
    <row r="648" spans="1:11" x14ac:dyDescent="0.2">
      <c r="B648" s="252"/>
      <c r="C648" s="252"/>
      <c r="D648" s="216">
        <v>38</v>
      </c>
      <c r="E648" s="253">
        <v>22.2</v>
      </c>
      <c r="F648" s="254">
        <f t="shared" si="77"/>
        <v>112.12121212121211</v>
      </c>
      <c r="G648" s="254">
        <f t="shared" si="80"/>
        <v>-12.12121212121211</v>
      </c>
      <c r="H648" s="255">
        <f t="shared" si="78"/>
        <v>0</v>
      </c>
      <c r="I648" s="256">
        <v>4</v>
      </c>
      <c r="J648" s="256">
        <v>0</v>
      </c>
      <c r="K648" s="1">
        <f t="shared" si="79"/>
        <v>1.3333333333333333</v>
      </c>
    </row>
    <row r="649" spans="1:11" x14ac:dyDescent="0.2">
      <c r="B649" s="252"/>
      <c r="C649" s="252"/>
      <c r="D649" s="216">
        <v>40</v>
      </c>
      <c r="E649" s="253"/>
      <c r="F649" s="254">
        <f t="shared" si="77"/>
        <v>0</v>
      </c>
      <c r="G649" s="254">
        <f t="shared" si="80"/>
        <v>100</v>
      </c>
      <c r="H649" s="255">
        <f t="shared" si="78"/>
        <v>4</v>
      </c>
      <c r="I649" s="256"/>
      <c r="J649" s="256"/>
      <c r="K649" s="1">
        <f t="shared" si="79"/>
        <v>4</v>
      </c>
    </row>
    <row r="650" spans="1:11" x14ac:dyDescent="0.2">
      <c r="B650" s="252"/>
      <c r="C650" s="252" t="s">
        <v>15</v>
      </c>
      <c r="D650" s="216">
        <v>43</v>
      </c>
      <c r="E650" s="253"/>
      <c r="F650" s="254">
        <f t="shared" si="77"/>
        <v>0</v>
      </c>
      <c r="G650" s="254">
        <f t="shared" si="80"/>
        <v>100</v>
      </c>
      <c r="H650" s="255">
        <f t="shared" si="78"/>
        <v>4</v>
      </c>
      <c r="I650" s="256"/>
      <c r="J650" s="256"/>
      <c r="K650" s="1">
        <f t="shared" si="79"/>
        <v>4</v>
      </c>
    </row>
    <row r="651" spans="1:11" x14ac:dyDescent="0.2">
      <c r="B651" s="252"/>
      <c r="C651" s="252"/>
      <c r="D651" s="216">
        <v>45</v>
      </c>
      <c r="E651" s="253"/>
      <c r="F651" s="254">
        <f t="shared" si="77"/>
        <v>0</v>
      </c>
      <c r="G651" s="254">
        <f t="shared" si="80"/>
        <v>100</v>
      </c>
      <c r="H651" s="255">
        <f t="shared" si="78"/>
        <v>4</v>
      </c>
      <c r="I651" s="256"/>
      <c r="J651" s="256"/>
      <c r="K651" s="1">
        <f t="shared" si="79"/>
        <v>4</v>
      </c>
    </row>
    <row r="652" spans="1:11" x14ac:dyDescent="0.2">
      <c r="B652" s="252"/>
      <c r="C652" s="252"/>
      <c r="D652" s="231">
        <v>47</v>
      </c>
      <c r="E652" s="253"/>
      <c r="F652" s="254">
        <f t="shared" si="77"/>
        <v>0</v>
      </c>
      <c r="G652" s="254">
        <f t="shared" si="80"/>
        <v>100</v>
      </c>
      <c r="H652" s="255">
        <f t="shared" si="78"/>
        <v>4</v>
      </c>
      <c r="I652" s="256"/>
      <c r="J652" s="256"/>
      <c r="K652" s="1">
        <f t="shared" si="79"/>
        <v>4</v>
      </c>
    </row>
    <row r="653" spans="1:11" x14ac:dyDescent="0.2">
      <c r="B653" s="252"/>
      <c r="C653" s="252" t="s">
        <v>16</v>
      </c>
      <c r="D653" s="231">
        <v>50</v>
      </c>
      <c r="E653" s="253"/>
      <c r="F653" s="254">
        <f t="shared" si="77"/>
        <v>0</v>
      </c>
      <c r="G653" s="254">
        <f t="shared" si="80"/>
        <v>100</v>
      </c>
      <c r="H653" s="255">
        <f t="shared" si="78"/>
        <v>4</v>
      </c>
      <c r="I653" s="256"/>
      <c r="J653" s="256"/>
      <c r="K653" s="1">
        <f t="shared" si="79"/>
        <v>4</v>
      </c>
    </row>
    <row r="654" spans="1:11" x14ac:dyDescent="0.2">
      <c r="B654" s="252"/>
      <c r="C654" s="252"/>
      <c r="D654" s="231">
        <v>52</v>
      </c>
      <c r="E654" s="253"/>
      <c r="F654" s="254">
        <f t="shared" si="77"/>
        <v>0</v>
      </c>
      <c r="G654" s="254">
        <f t="shared" si="80"/>
        <v>100</v>
      </c>
      <c r="H654" s="255">
        <f t="shared" si="78"/>
        <v>4</v>
      </c>
      <c r="I654" s="256"/>
      <c r="J654" s="256"/>
      <c r="K654" s="1">
        <f t="shared" si="79"/>
        <v>4</v>
      </c>
    </row>
    <row r="655" spans="1:11" x14ac:dyDescent="0.2">
      <c r="B655" s="252"/>
      <c r="C655" s="252"/>
      <c r="D655" s="231">
        <v>54</v>
      </c>
      <c r="E655" s="253"/>
      <c r="F655" s="254">
        <f t="shared" si="77"/>
        <v>0</v>
      </c>
      <c r="G655" s="254">
        <f t="shared" si="80"/>
        <v>100</v>
      </c>
      <c r="H655" s="255">
        <f t="shared" si="78"/>
        <v>4</v>
      </c>
      <c r="I655" s="256"/>
      <c r="J655" s="256"/>
      <c r="K655" s="1">
        <f t="shared" si="79"/>
        <v>4</v>
      </c>
    </row>
    <row r="656" spans="1:11" x14ac:dyDescent="0.2">
      <c r="B656" s="252"/>
      <c r="C656" s="252" t="s">
        <v>15</v>
      </c>
      <c r="D656" s="231">
        <v>57</v>
      </c>
      <c r="E656" s="253"/>
      <c r="F656" s="254">
        <f t="shared" si="77"/>
        <v>0</v>
      </c>
      <c r="G656" s="254">
        <f t="shared" si="80"/>
        <v>100</v>
      </c>
      <c r="H656" s="255">
        <f t="shared" si="78"/>
        <v>4</v>
      </c>
      <c r="I656" s="256"/>
      <c r="J656" s="256"/>
      <c r="K656" s="1">
        <f t="shared" si="79"/>
        <v>4</v>
      </c>
    </row>
    <row r="657" spans="1:11" x14ac:dyDescent="0.2">
      <c r="B657" s="252"/>
      <c r="C657" s="252"/>
      <c r="D657" s="231">
        <v>59</v>
      </c>
      <c r="E657" s="253"/>
      <c r="F657" s="254">
        <f t="shared" si="77"/>
        <v>0</v>
      </c>
      <c r="G657" s="254">
        <f t="shared" si="80"/>
        <v>100</v>
      </c>
      <c r="H657" s="255">
        <f t="shared" si="78"/>
        <v>4</v>
      </c>
      <c r="I657" s="256"/>
      <c r="J657" s="256"/>
      <c r="K657" s="1">
        <f t="shared" si="79"/>
        <v>4</v>
      </c>
    </row>
    <row r="658" spans="1:11" x14ac:dyDescent="0.2">
      <c r="B658" s="356"/>
      <c r="C658" s="356"/>
      <c r="D658" s="231">
        <v>61</v>
      </c>
      <c r="E658" s="357"/>
      <c r="F658" s="358">
        <f t="shared" si="77"/>
        <v>0</v>
      </c>
      <c r="G658" s="358">
        <f t="shared" si="80"/>
        <v>100</v>
      </c>
      <c r="H658" s="359">
        <f t="shared" si="78"/>
        <v>4</v>
      </c>
      <c r="I658" s="360"/>
      <c r="J658" s="360"/>
      <c r="K658" s="361">
        <f t="shared" si="79"/>
        <v>4</v>
      </c>
    </row>
    <row r="659" spans="1:11" ht="17" thickBot="1" x14ac:dyDescent="0.25">
      <c r="B659" s="364"/>
      <c r="C659" s="364"/>
      <c r="D659" s="365">
        <v>64</v>
      </c>
      <c r="E659" s="366"/>
      <c r="F659" s="367">
        <f t="shared" si="77"/>
        <v>0</v>
      </c>
      <c r="G659" s="367">
        <f t="shared" si="80"/>
        <v>100</v>
      </c>
      <c r="H659" s="368">
        <f t="shared" si="78"/>
        <v>4</v>
      </c>
      <c r="I659" s="369"/>
      <c r="J659" s="369"/>
      <c r="K659" s="370">
        <f t="shared" si="79"/>
        <v>4</v>
      </c>
    </row>
    <row r="660" spans="1:11" x14ac:dyDescent="0.2">
      <c r="A660" s="8" t="s">
        <v>26</v>
      </c>
      <c r="B660" s="247" t="s">
        <v>17</v>
      </c>
      <c r="C660" s="247" t="s">
        <v>21</v>
      </c>
      <c r="D660" s="362">
        <v>1</v>
      </c>
      <c r="E660" s="249">
        <v>19.5</v>
      </c>
      <c r="F660" s="259">
        <v>100</v>
      </c>
      <c r="G660" s="250">
        <f t="shared" si="80"/>
        <v>0</v>
      </c>
      <c r="H660" s="251">
        <f t="shared" si="78"/>
        <v>0</v>
      </c>
      <c r="I660" s="240">
        <v>0</v>
      </c>
      <c r="J660" s="240">
        <v>0</v>
      </c>
      <c r="K660" s="363">
        <f t="shared" si="79"/>
        <v>0</v>
      </c>
    </row>
    <row r="661" spans="1:11" x14ac:dyDescent="0.2">
      <c r="B661" s="252"/>
      <c r="C661" s="252"/>
      <c r="D661" s="216">
        <v>3</v>
      </c>
      <c r="E661" s="253">
        <v>18</v>
      </c>
      <c r="F661" s="260">
        <f t="shared" ref="F661:F676" si="81">E661/$E$660*100</f>
        <v>92.307692307692307</v>
      </c>
      <c r="G661" s="254">
        <f t="shared" si="80"/>
        <v>7.6923076923076934</v>
      </c>
      <c r="H661" s="255">
        <f t="shared" si="78"/>
        <v>2</v>
      </c>
      <c r="I661" s="256">
        <v>2</v>
      </c>
      <c r="J661" s="256">
        <v>0</v>
      </c>
      <c r="K661" s="213">
        <f t="shared" si="79"/>
        <v>1.3333333333333333</v>
      </c>
    </row>
    <row r="662" spans="1:11" x14ac:dyDescent="0.2">
      <c r="B662" s="252"/>
      <c r="C662" s="252"/>
      <c r="D662" s="216">
        <v>5</v>
      </c>
      <c r="E662" s="253">
        <v>19.5</v>
      </c>
      <c r="F662" s="260">
        <f t="shared" si="81"/>
        <v>100</v>
      </c>
      <c r="G662" s="254">
        <f t="shared" si="80"/>
        <v>0</v>
      </c>
      <c r="H662" s="255">
        <f t="shared" si="78"/>
        <v>0</v>
      </c>
      <c r="I662" s="256">
        <v>1.5</v>
      </c>
      <c r="J662" s="256">
        <v>0</v>
      </c>
      <c r="K662" s="213">
        <f t="shared" si="79"/>
        <v>0.5</v>
      </c>
    </row>
    <row r="663" spans="1:11" x14ac:dyDescent="0.2">
      <c r="B663" s="252"/>
      <c r="C663" s="252"/>
      <c r="D663" s="216">
        <v>8</v>
      </c>
      <c r="E663" s="253">
        <v>21.9</v>
      </c>
      <c r="F663" s="260">
        <f t="shared" si="81"/>
        <v>112.30769230769231</v>
      </c>
      <c r="G663" s="254">
        <f t="shared" si="80"/>
        <v>-12.307692307692307</v>
      </c>
      <c r="H663" s="255">
        <f t="shared" si="78"/>
        <v>0</v>
      </c>
      <c r="I663" s="256">
        <v>2.5</v>
      </c>
      <c r="J663" s="256">
        <v>0</v>
      </c>
      <c r="K663" s="213">
        <f t="shared" si="79"/>
        <v>0.83333333333333337</v>
      </c>
    </row>
    <row r="664" spans="1:11" x14ac:dyDescent="0.2">
      <c r="B664" s="252"/>
      <c r="C664" s="252"/>
      <c r="D664" s="216">
        <v>10</v>
      </c>
      <c r="E664" s="253">
        <v>22.2</v>
      </c>
      <c r="F664" s="260">
        <f t="shared" si="81"/>
        <v>113.84615384615384</v>
      </c>
      <c r="G664" s="254">
        <f t="shared" si="80"/>
        <v>-13.84615384615384</v>
      </c>
      <c r="H664" s="255">
        <f t="shared" si="78"/>
        <v>0</v>
      </c>
      <c r="I664" s="256">
        <v>3</v>
      </c>
      <c r="J664" s="256">
        <v>0</v>
      </c>
      <c r="K664" s="213">
        <f t="shared" si="79"/>
        <v>1</v>
      </c>
    </row>
    <row r="665" spans="1:11" x14ac:dyDescent="0.2">
      <c r="B665" s="252"/>
      <c r="C665" s="252"/>
      <c r="D665" s="216">
        <v>12</v>
      </c>
      <c r="E665" s="253">
        <v>22.1</v>
      </c>
      <c r="F665" s="260">
        <f t="shared" si="81"/>
        <v>113.33333333333333</v>
      </c>
      <c r="G665" s="254">
        <f t="shared" si="80"/>
        <v>-13.333333333333329</v>
      </c>
      <c r="H665" s="255">
        <f t="shared" si="78"/>
        <v>0</v>
      </c>
      <c r="I665" s="256">
        <v>3.5</v>
      </c>
      <c r="J665" s="256">
        <v>0</v>
      </c>
      <c r="K665" s="213">
        <f t="shared" si="79"/>
        <v>1.1666666666666667</v>
      </c>
    </row>
    <row r="666" spans="1:11" x14ac:dyDescent="0.2">
      <c r="B666" s="252"/>
      <c r="C666" s="257" t="s">
        <v>4</v>
      </c>
      <c r="D666" s="223">
        <v>15</v>
      </c>
      <c r="E666" s="253">
        <v>22.5</v>
      </c>
      <c r="F666" s="260">
        <f t="shared" si="81"/>
        <v>115.38461538461537</v>
      </c>
      <c r="G666" s="254">
        <f t="shared" si="80"/>
        <v>-15.384615384615373</v>
      </c>
      <c r="H666" s="255">
        <f t="shared" si="78"/>
        <v>0</v>
      </c>
      <c r="I666" s="256">
        <v>2</v>
      </c>
      <c r="J666" s="256">
        <v>0</v>
      </c>
      <c r="K666" s="213">
        <f t="shared" si="79"/>
        <v>0.66666666666666663</v>
      </c>
    </row>
    <row r="667" spans="1:11" x14ac:dyDescent="0.2">
      <c r="B667" s="252"/>
      <c r="C667" s="252" t="s">
        <v>3</v>
      </c>
      <c r="D667" s="216">
        <v>17</v>
      </c>
      <c r="E667" s="253">
        <v>21.9</v>
      </c>
      <c r="F667" s="260">
        <f t="shared" si="81"/>
        <v>112.30769230769231</v>
      </c>
      <c r="G667" s="254">
        <f t="shared" si="80"/>
        <v>-12.307692307692307</v>
      </c>
      <c r="H667" s="255">
        <f t="shared" si="78"/>
        <v>0</v>
      </c>
      <c r="I667" s="256">
        <v>2.5</v>
      </c>
      <c r="J667" s="256">
        <v>0</v>
      </c>
      <c r="K667" s="213">
        <f t="shared" si="79"/>
        <v>0.83333333333333337</v>
      </c>
    </row>
    <row r="668" spans="1:11" x14ac:dyDescent="0.2">
      <c r="B668" s="252"/>
      <c r="C668" s="252"/>
      <c r="D668" s="216">
        <v>19</v>
      </c>
      <c r="E668" s="253">
        <v>22</v>
      </c>
      <c r="F668" s="260">
        <f t="shared" si="81"/>
        <v>112.82051282051282</v>
      </c>
      <c r="G668" s="254">
        <f>100-F668</f>
        <v>-12.820512820512818</v>
      </c>
      <c r="H668" s="255">
        <f t="shared" ref="H668:H715" si="82">IF(G668&lt;=1, 0, IF(AND(G668&gt;1, G668&lt;=5), 1, IF(AND(G668&gt;5, G668&lt;=10), 2, IF(AND(G668&gt;10, G668&lt;=15), 3, 4))))</f>
        <v>0</v>
      </c>
      <c r="I668" s="256">
        <v>1.5</v>
      </c>
      <c r="J668" s="256">
        <v>0</v>
      </c>
      <c r="K668" s="213">
        <f t="shared" ref="K668:K672" si="83">AVERAGE(H668:J668)</f>
        <v>0.5</v>
      </c>
    </row>
    <row r="669" spans="1:11" x14ac:dyDescent="0.2">
      <c r="A669" s="7"/>
      <c r="B669" s="252"/>
      <c r="C669" s="252"/>
      <c r="D669" s="216">
        <v>22</v>
      </c>
      <c r="E669" s="253">
        <v>21.5</v>
      </c>
      <c r="F669" s="260">
        <f t="shared" si="81"/>
        <v>110.25641025641026</v>
      </c>
      <c r="G669" s="254">
        <f t="shared" ref="G669:G695" si="84">100-F669</f>
        <v>-10.256410256410263</v>
      </c>
      <c r="H669" s="255">
        <f t="shared" si="82"/>
        <v>0</v>
      </c>
      <c r="I669" s="256">
        <v>1.5</v>
      </c>
      <c r="J669" s="256">
        <v>0</v>
      </c>
      <c r="K669" s="213">
        <f t="shared" si="83"/>
        <v>0.5</v>
      </c>
    </row>
    <row r="670" spans="1:11" x14ac:dyDescent="0.2">
      <c r="A670" s="7"/>
      <c r="B670" s="252"/>
      <c r="C670" s="252"/>
      <c r="D670" s="216">
        <v>24</v>
      </c>
      <c r="E670" s="253">
        <v>22.7</v>
      </c>
      <c r="F670" s="260">
        <f t="shared" si="81"/>
        <v>116.41025641025639</v>
      </c>
      <c r="G670" s="254">
        <f t="shared" si="84"/>
        <v>-16.410256410256395</v>
      </c>
      <c r="H670" s="255">
        <f t="shared" si="82"/>
        <v>0</v>
      </c>
      <c r="I670" s="256">
        <v>1</v>
      </c>
      <c r="J670" s="256">
        <v>0</v>
      </c>
      <c r="K670" s="213">
        <f t="shared" si="83"/>
        <v>0.33333333333333331</v>
      </c>
    </row>
    <row r="671" spans="1:11" x14ac:dyDescent="0.2">
      <c r="A671" s="7"/>
      <c r="B671" s="252"/>
      <c r="C671" s="252"/>
      <c r="D671" s="231">
        <v>26</v>
      </c>
      <c r="E671" s="253">
        <v>22.1</v>
      </c>
      <c r="F671" s="260">
        <f t="shared" si="81"/>
        <v>113.33333333333333</v>
      </c>
      <c r="G671" s="254">
        <f t="shared" si="84"/>
        <v>-13.333333333333329</v>
      </c>
      <c r="H671" s="255">
        <f t="shared" si="82"/>
        <v>0</v>
      </c>
      <c r="I671" s="256">
        <v>1.5</v>
      </c>
      <c r="J671" s="256">
        <v>0</v>
      </c>
      <c r="K671" s="213">
        <f t="shared" si="83"/>
        <v>0.5</v>
      </c>
    </row>
    <row r="672" spans="1:11" x14ac:dyDescent="0.2">
      <c r="A672" s="7"/>
      <c r="B672" s="252"/>
      <c r="C672" s="252"/>
      <c r="D672" s="231">
        <v>29</v>
      </c>
      <c r="E672" s="253">
        <v>23.1</v>
      </c>
      <c r="F672" s="260">
        <f t="shared" si="81"/>
        <v>118.46153846153847</v>
      </c>
      <c r="G672" s="254">
        <f t="shared" si="84"/>
        <v>-18.461538461538467</v>
      </c>
      <c r="H672" s="255">
        <f t="shared" si="82"/>
        <v>0</v>
      </c>
      <c r="I672" s="256">
        <v>2</v>
      </c>
      <c r="J672" s="256">
        <v>0</v>
      </c>
      <c r="K672" s="213">
        <f t="shared" si="83"/>
        <v>0.66666666666666663</v>
      </c>
    </row>
    <row r="673" spans="1:11" x14ac:dyDescent="0.2">
      <c r="A673" s="7"/>
      <c r="B673" s="252"/>
      <c r="C673" s="252" t="s">
        <v>15</v>
      </c>
      <c r="D673" s="210">
        <v>31</v>
      </c>
      <c r="E673" s="253">
        <v>23.3</v>
      </c>
      <c r="F673" s="260">
        <f t="shared" si="81"/>
        <v>119.48717948717949</v>
      </c>
      <c r="G673" s="254">
        <f t="shared" si="84"/>
        <v>-19.487179487179489</v>
      </c>
      <c r="H673" s="255">
        <f t="shared" si="82"/>
        <v>0</v>
      </c>
      <c r="I673" s="256">
        <v>3.5</v>
      </c>
      <c r="J673" s="256">
        <v>0.5</v>
      </c>
      <c r="K673" s="213">
        <f>AVERAGE(H673:J673)</f>
        <v>1.3333333333333333</v>
      </c>
    </row>
    <row r="674" spans="1:11" x14ac:dyDescent="0.2">
      <c r="B674" s="252"/>
      <c r="C674" s="252"/>
      <c r="D674" s="216">
        <v>33</v>
      </c>
      <c r="E674" s="253">
        <v>22.9</v>
      </c>
      <c r="F674" s="260">
        <f t="shared" si="81"/>
        <v>117.43589743589742</v>
      </c>
      <c r="G674" s="254">
        <f t="shared" si="84"/>
        <v>-17.435897435897417</v>
      </c>
      <c r="H674" s="255">
        <f t="shared" si="82"/>
        <v>0</v>
      </c>
      <c r="I674" s="256">
        <v>2.5</v>
      </c>
      <c r="J674" s="256">
        <v>1</v>
      </c>
      <c r="K674" s="1">
        <f t="shared" ref="K674:K700" si="85">AVERAGE(H674:J674)</f>
        <v>1.1666666666666667</v>
      </c>
    </row>
    <row r="675" spans="1:11" x14ac:dyDescent="0.2">
      <c r="B675" s="252"/>
      <c r="C675" s="252" t="s">
        <v>16</v>
      </c>
      <c r="D675" s="216">
        <v>36</v>
      </c>
      <c r="E675" s="253">
        <v>22.9</v>
      </c>
      <c r="F675" s="260">
        <f t="shared" si="81"/>
        <v>117.43589743589742</v>
      </c>
      <c r="G675" s="254">
        <f t="shared" si="84"/>
        <v>-17.435897435897417</v>
      </c>
      <c r="H675" s="255">
        <f t="shared" si="82"/>
        <v>0</v>
      </c>
      <c r="I675" s="256">
        <v>4</v>
      </c>
      <c r="J675" s="256">
        <v>3</v>
      </c>
      <c r="K675" s="1">
        <f t="shared" si="85"/>
        <v>2.3333333333333335</v>
      </c>
    </row>
    <row r="676" spans="1:11" x14ac:dyDescent="0.2">
      <c r="B676" s="252"/>
      <c r="C676" s="252"/>
      <c r="D676" s="216">
        <v>38</v>
      </c>
      <c r="E676" s="253">
        <v>23</v>
      </c>
      <c r="F676" s="260">
        <f t="shared" si="81"/>
        <v>117.94871794871796</v>
      </c>
      <c r="G676" s="254">
        <f t="shared" si="84"/>
        <v>-17.948717948717956</v>
      </c>
      <c r="H676" s="255">
        <f t="shared" si="82"/>
        <v>0</v>
      </c>
      <c r="I676" s="256">
        <v>3.5</v>
      </c>
      <c r="J676" s="256">
        <v>0.5</v>
      </c>
      <c r="K676" s="1">
        <f t="shared" si="85"/>
        <v>1.3333333333333333</v>
      </c>
    </row>
    <row r="677" spans="1:11" x14ac:dyDescent="0.2">
      <c r="B677" s="252"/>
      <c r="C677" s="252"/>
      <c r="D677" s="216">
        <v>40</v>
      </c>
      <c r="E677" s="253"/>
      <c r="F677" s="254">
        <f t="shared" ref="F677:F687" si="86">E677/$E$632*100</f>
        <v>0</v>
      </c>
      <c r="G677" s="254">
        <f t="shared" si="84"/>
        <v>100</v>
      </c>
      <c r="H677" s="255">
        <f t="shared" si="82"/>
        <v>4</v>
      </c>
      <c r="I677" s="256"/>
      <c r="J677" s="256"/>
      <c r="K677" s="1">
        <f t="shared" si="85"/>
        <v>4</v>
      </c>
    </row>
    <row r="678" spans="1:11" x14ac:dyDescent="0.2">
      <c r="B678" s="252"/>
      <c r="C678" s="252" t="s">
        <v>15</v>
      </c>
      <c r="D678" s="216">
        <v>43</v>
      </c>
      <c r="E678" s="253"/>
      <c r="F678" s="254">
        <f t="shared" si="86"/>
        <v>0</v>
      </c>
      <c r="G678" s="254">
        <f t="shared" si="84"/>
        <v>100</v>
      </c>
      <c r="H678" s="255">
        <f t="shared" si="82"/>
        <v>4</v>
      </c>
      <c r="I678" s="256"/>
      <c r="J678" s="256"/>
      <c r="K678" s="1">
        <f t="shared" si="85"/>
        <v>4</v>
      </c>
    </row>
    <row r="679" spans="1:11" x14ac:dyDescent="0.2">
      <c r="B679" s="252"/>
      <c r="C679" s="252"/>
      <c r="D679" s="216">
        <v>45</v>
      </c>
      <c r="E679" s="253"/>
      <c r="F679" s="254">
        <f t="shared" si="86"/>
        <v>0</v>
      </c>
      <c r="G679" s="254">
        <f t="shared" si="84"/>
        <v>100</v>
      </c>
      <c r="H679" s="255">
        <f t="shared" si="82"/>
        <v>4</v>
      </c>
      <c r="I679" s="256"/>
      <c r="J679" s="256"/>
      <c r="K679" s="1">
        <f t="shared" si="85"/>
        <v>4</v>
      </c>
    </row>
    <row r="680" spans="1:11" x14ac:dyDescent="0.2">
      <c r="B680" s="252"/>
      <c r="C680" s="252"/>
      <c r="D680" s="231">
        <v>47</v>
      </c>
      <c r="E680" s="253"/>
      <c r="F680" s="254">
        <f t="shared" si="86"/>
        <v>0</v>
      </c>
      <c r="G680" s="254">
        <f t="shared" si="84"/>
        <v>100</v>
      </c>
      <c r="H680" s="255">
        <f t="shared" si="82"/>
        <v>4</v>
      </c>
      <c r="I680" s="256"/>
      <c r="J680" s="256"/>
      <c r="K680" s="1">
        <f t="shared" si="85"/>
        <v>4</v>
      </c>
    </row>
    <row r="681" spans="1:11" x14ac:dyDescent="0.2">
      <c r="B681" s="252"/>
      <c r="C681" s="252" t="s">
        <v>16</v>
      </c>
      <c r="D681" s="231">
        <v>50</v>
      </c>
      <c r="E681" s="253"/>
      <c r="F681" s="254">
        <f t="shared" si="86"/>
        <v>0</v>
      </c>
      <c r="G681" s="254">
        <f t="shared" si="84"/>
        <v>100</v>
      </c>
      <c r="H681" s="255">
        <f t="shared" si="82"/>
        <v>4</v>
      </c>
      <c r="I681" s="256"/>
      <c r="J681" s="256"/>
      <c r="K681" s="1">
        <f t="shared" si="85"/>
        <v>4</v>
      </c>
    </row>
    <row r="682" spans="1:11" x14ac:dyDescent="0.2">
      <c r="B682" s="252"/>
      <c r="C682" s="252"/>
      <c r="D682" s="231">
        <v>52</v>
      </c>
      <c r="E682" s="253"/>
      <c r="F682" s="254">
        <f t="shared" si="86"/>
        <v>0</v>
      </c>
      <c r="G682" s="254">
        <f t="shared" si="84"/>
        <v>100</v>
      </c>
      <c r="H682" s="255">
        <f t="shared" si="82"/>
        <v>4</v>
      </c>
      <c r="I682" s="256"/>
      <c r="J682" s="256"/>
      <c r="K682" s="1">
        <f t="shared" si="85"/>
        <v>4</v>
      </c>
    </row>
    <row r="683" spans="1:11" x14ac:dyDescent="0.2">
      <c r="B683" s="252"/>
      <c r="C683" s="252"/>
      <c r="D683" s="231">
        <v>54</v>
      </c>
      <c r="E683" s="253"/>
      <c r="F683" s="254">
        <f t="shared" si="86"/>
        <v>0</v>
      </c>
      <c r="G683" s="254">
        <f t="shared" si="84"/>
        <v>100</v>
      </c>
      <c r="H683" s="255">
        <f t="shared" si="82"/>
        <v>4</v>
      </c>
      <c r="I683" s="256"/>
      <c r="J683" s="256"/>
      <c r="K683" s="1">
        <f t="shared" si="85"/>
        <v>4</v>
      </c>
    </row>
    <row r="684" spans="1:11" x14ac:dyDescent="0.2">
      <c r="B684" s="252"/>
      <c r="C684" s="252" t="s">
        <v>15</v>
      </c>
      <c r="D684" s="231">
        <v>57</v>
      </c>
      <c r="E684" s="253"/>
      <c r="F684" s="254">
        <f t="shared" si="86"/>
        <v>0</v>
      </c>
      <c r="G684" s="254">
        <f t="shared" si="84"/>
        <v>100</v>
      </c>
      <c r="H684" s="255">
        <f t="shared" si="82"/>
        <v>4</v>
      </c>
      <c r="I684" s="256"/>
      <c r="J684" s="256"/>
      <c r="K684" s="1">
        <f t="shared" si="85"/>
        <v>4</v>
      </c>
    </row>
    <row r="685" spans="1:11" x14ac:dyDescent="0.2">
      <c r="B685" s="252"/>
      <c r="C685" s="252"/>
      <c r="D685" s="231">
        <v>59</v>
      </c>
      <c r="E685" s="253"/>
      <c r="F685" s="254">
        <f t="shared" si="86"/>
        <v>0</v>
      </c>
      <c r="G685" s="254">
        <f t="shared" si="84"/>
        <v>100</v>
      </c>
      <c r="H685" s="255">
        <f t="shared" si="82"/>
        <v>4</v>
      </c>
      <c r="I685" s="256"/>
      <c r="J685" s="256"/>
      <c r="K685" s="1">
        <f t="shared" si="85"/>
        <v>4</v>
      </c>
    </row>
    <row r="686" spans="1:11" x14ac:dyDescent="0.2">
      <c r="B686" s="252"/>
      <c r="C686" s="252"/>
      <c r="D686" s="231">
        <v>61</v>
      </c>
      <c r="E686" s="253"/>
      <c r="F686" s="254">
        <f t="shared" si="86"/>
        <v>0</v>
      </c>
      <c r="G686" s="254">
        <f t="shared" si="84"/>
        <v>100</v>
      </c>
      <c r="H686" s="255">
        <f t="shared" si="82"/>
        <v>4</v>
      </c>
      <c r="I686" s="256"/>
      <c r="J686" s="256"/>
      <c r="K686" s="1">
        <f t="shared" si="85"/>
        <v>4</v>
      </c>
    </row>
    <row r="687" spans="1:11" ht="17" thickBot="1" x14ac:dyDescent="0.25">
      <c r="B687" s="364"/>
      <c r="C687" s="364"/>
      <c r="D687" s="242">
        <v>64</v>
      </c>
      <c r="E687" s="366"/>
      <c r="F687" s="367">
        <f t="shared" si="86"/>
        <v>0</v>
      </c>
      <c r="G687" s="367">
        <f t="shared" si="84"/>
        <v>100</v>
      </c>
      <c r="H687" s="368">
        <f t="shared" si="82"/>
        <v>4</v>
      </c>
      <c r="I687" s="369"/>
      <c r="J687" s="369"/>
      <c r="K687" s="370">
        <f t="shared" si="85"/>
        <v>4</v>
      </c>
    </row>
    <row r="688" spans="1:11" x14ac:dyDescent="0.2">
      <c r="A688" s="8" t="s">
        <v>26</v>
      </c>
      <c r="B688" s="247" t="s">
        <v>18</v>
      </c>
      <c r="C688" s="247" t="s">
        <v>21</v>
      </c>
      <c r="D688" s="362">
        <v>1</v>
      </c>
      <c r="E688" s="249">
        <v>20.6</v>
      </c>
      <c r="F688" s="259">
        <v>100</v>
      </c>
      <c r="G688" s="250">
        <f t="shared" si="84"/>
        <v>0</v>
      </c>
      <c r="H688" s="251">
        <f t="shared" si="82"/>
        <v>0</v>
      </c>
      <c r="I688" s="240">
        <v>0</v>
      </c>
      <c r="J688" s="240">
        <v>0</v>
      </c>
      <c r="K688" s="363">
        <f t="shared" si="85"/>
        <v>0</v>
      </c>
    </row>
    <row r="689" spans="1:11" x14ac:dyDescent="0.2">
      <c r="B689" s="252"/>
      <c r="C689" s="252"/>
      <c r="D689" s="216">
        <v>3</v>
      </c>
      <c r="E689" s="253">
        <v>19.899999999999999</v>
      </c>
      <c r="F689" s="260">
        <f t="shared" ref="F689:F704" si="87">E689/$E$688*100</f>
        <v>96.601941747572809</v>
      </c>
      <c r="G689" s="254">
        <f t="shared" si="84"/>
        <v>3.398058252427191</v>
      </c>
      <c r="H689" s="255">
        <f t="shared" si="82"/>
        <v>1</v>
      </c>
      <c r="I689" s="256">
        <v>4</v>
      </c>
      <c r="J689" s="256">
        <v>0</v>
      </c>
      <c r="K689" s="213">
        <f t="shared" si="85"/>
        <v>1.6666666666666667</v>
      </c>
    </row>
    <row r="690" spans="1:11" x14ac:dyDescent="0.2">
      <c r="B690" s="252"/>
      <c r="C690" s="252"/>
      <c r="D690" s="216">
        <v>5</v>
      </c>
      <c r="E690" s="253">
        <v>21</v>
      </c>
      <c r="F690" s="260">
        <f t="shared" si="87"/>
        <v>101.94174757281553</v>
      </c>
      <c r="G690" s="254">
        <f t="shared" si="84"/>
        <v>-1.9417475728155296</v>
      </c>
      <c r="H690" s="255">
        <f t="shared" si="82"/>
        <v>0</v>
      </c>
      <c r="I690" s="256">
        <v>2</v>
      </c>
      <c r="J690" s="256">
        <v>0</v>
      </c>
      <c r="K690" s="213">
        <f t="shared" si="85"/>
        <v>0.66666666666666663</v>
      </c>
    </row>
    <row r="691" spans="1:11" x14ac:dyDescent="0.2">
      <c r="B691" s="252"/>
      <c r="C691" s="252"/>
      <c r="D691" s="216">
        <v>8</v>
      </c>
      <c r="E691" s="253">
        <v>22</v>
      </c>
      <c r="F691" s="260">
        <f t="shared" si="87"/>
        <v>106.79611650485437</v>
      </c>
      <c r="G691" s="254">
        <f t="shared" si="84"/>
        <v>-6.7961165048543677</v>
      </c>
      <c r="H691" s="255">
        <f t="shared" si="82"/>
        <v>0</v>
      </c>
      <c r="I691" s="256">
        <v>2.5</v>
      </c>
      <c r="J691" s="256">
        <v>0</v>
      </c>
      <c r="K691" s="213">
        <f t="shared" si="85"/>
        <v>0.83333333333333337</v>
      </c>
    </row>
    <row r="692" spans="1:11" x14ac:dyDescent="0.2">
      <c r="B692" s="252"/>
      <c r="C692" s="252"/>
      <c r="D692" s="216">
        <v>10</v>
      </c>
      <c r="E692" s="253">
        <v>22.9</v>
      </c>
      <c r="F692" s="260">
        <f t="shared" si="87"/>
        <v>111.16504854368931</v>
      </c>
      <c r="G692" s="254">
        <f t="shared" si="84"/>
        <v>-11.165048543689309</v>
      </c>
      <c r="H692" s="255">
        <f t="shared" si="82"/>
        <v>0</v>
      </c>
      <c r="I692" s="256">
        <v>3</v>
      </c>
      <c r="J692" s="256">
        <v>0</v>
      </c>
      <c r="K692" s="213">
        <f t="shared" si="85"/>
        <v>1</v>
      </c>
    </row>
    <row r="693" spans="1:11" x14ac:dyDescent="0.2">
      <c r="B693" s="252"/>
      <c r="C693" s="252"/>
      <c r="D693" s="216">
        <v>12</v>
      </c>
      <c r="E693" s="253">
        <v>22.4</v>
      </c>
      <c r="F693" s="260">
        <f t="shared" si="87"/>
        <v>108.7378640776699</v>
      </c>
      <c r="G693" s="254">
        <f t="shared" si="84"/>
        <v>-8.7378640776698973</v>
      </c>
      <c r="H693" s="255">
        <f t="shared" si="82"/>
        <v>0</v>
      </c>
      <c r="I693" s="256">
        <v>3.5</v>
      </c>
      <c r="J693" s="256">
        <v>0</v>
      </c>
      <c r="K693" s="213">
        <f t="shared" si="85"/>
        <v>1.1666666666666667</v>
      </c>
    </row>
    <row r="694" spans="1:11" x14ac:dyDescent="0.2">
      <c r="B694" s="252"/>
      <c r="C694" s="257" t="s">
        <v>4</v>
      </c>
      <c r="D694" s="223">
        <v>15</v>
      </c>
      <c r="E694" s="253">
        <v>23</v>
      </c>
      <c r="F694" s="260">
        <f t="shared" si="87"/>
        <v>111.65048543689321</v>
      </c>
      <c r="G694" s="254">
        <f t="shared" si="84"/>
        <v>-11.650485436893206</v>
      </c>
      <c r="H694" s="255">
        <f t="shared" si="82"/>
        <v>0</v>
      </c>
      <c r="I694" s="256">
        <v>3.5</v>
      </c>
      <c r="J694" s="256">
        <v>0</v>
      </c>
      <c r="K694" s="213">
        <f t="shared" si="85"/>
        <v>1.1666666666666667</v>
      </c>
    </row>
    <row r="695" spans="1:11" x14ac:dyDescent="0.2">
      <c r="B695" s="252"/>
      <c r="C695" s="252" t="s">
        <v>3</v>
      </c>
      <c r="D695" s="216">
        <v>17</v>
      </c>
      <c r="E695" s="253">
        <v>22.5</v>
      </c>
      <c r="F695" s="260">
        <f t="shared" si="87"/>
        <v>109.22330097087378</v>
      </c>
      <c r="G695" s="254">
        <f t="shared" si="84"/>
        <v>-9.2233009708737796</v>
      </c>
      <c r="H695" s="255">
        <f t="shared" si="82"/>
        <v>0</v>
      </c>
      <c r="I695" s="256">
        <v>2</v>
      </c>
      <c r="J695" s="256">
        <v>0</v>
      </c>
      <c r="K695" s="213">
        <f t="shared" si="85"/>
        <v>0.66666666666666663</v>
      </c>
    </row>
    <row r="696" spans="1:11" x14ac:dyDescent="0.2">
      <c r="B696" s="252"/>
      <c r="C696" s="252"/>
      <c r="D696" s="216">
        <v>19</v>
      </c>
      <c r="E696" s="253">
        <v>22.9</v>
      </c>
      <c r="F696" s="260">
        <f t="shared" si="87"/>
        <v>111.16504854368931</v>
      </c>
      <c r="G696" s="254">
        <f>100-F696</f>
        <v>-11.165048543689309</v>
      </c>
      <c r="H696" s="255">
        <f t="shared" si="82"/>
        <v>0</v>
      </c>
      <c r="I696" s="256">
        <v>1</v>
      </c>
      <c r="J696" s="256">
        <v>0</v>
      </c>
      <c r="K696" s="213">
        <f t="shared" si="85"/>
        <v>0.33333333333333331</v>
      </c>
    </row>
    <row r="697" spans="1:11" x14ac:dyDescent="0.2">
      <c r="A697" s="7"/>
      <c r="B697" s="252"/>
      <c r="C697" s="252"/>
      <c r="D697" s="216">
        <v>22</v>
      </c>
      <c r="E697" s="253">
        <v>22.5</v>
      </c>
      <c r="F697" s="260">
        <f t="shared" si="87"/>
        <v>109.22330097087378</v>
      </c>
      <c r="G697" s="254">
        <f t="shared" ref="G697:G715" si="88">100-F697</f>
        <v>-9.2233009708737796</v>
      </c>
      <c r="H697" s="255">
        <f t="shared" si="82"/>
        <v>0</v>
      </c>
      <c r="I697" s="256">
        <v>0.5</v>
      </c>
      <c r="J697" s="256">
        <v>0</v>
      </c>
      <c r="K697" s="213">
        <f t="shared" si="85"/>
        <v>0.16666666666666666</v>
      </c>
    </row>
    <row r="698" spans="1:11" x14ac:dyDescent="0.2">
      <c r="A698" s="7"/>
      <c r="B698" s="252"/>
      <c r="C698" s="252"/>
      <c r="D698" s="216">
        <v>24</v>
      </c>
      <c r="E698" s="253">
        <v>24.2</v>
      </c>
      <c r="F698" s="260">
        <f t="shared" si="87"/>
        <v>117.47572815533979</v>
      </c>
      <c r="G698" s="254">
        <f t="shared" si="88"/>
        <v>-17.475728155339795</v>
      </c>
      <c r="H698" s="255">
        <f t="shared" si="82"/>
        <v>0</v>
      </c>
      <c r="I698" s="256">
        <v>1.5</v>
      </c>
      <c r="J698" s="256">
        <v>0</v>
      </c>
      <c r="K698" s="213">
        <f t="shared" si="85"/>
        <v>0.5</v>
      </c>
    </row>
    <row r="699" spans="1:11" x14ac:dyDescent="0.2">
      <c r="A699" s="7"/>
      <c r="B699" s="252"/>
      <c r="C699" s="252"/>
      <c r="D699" s="231">
        <v>26</v>
      </c>
      <c r="E699" s="253">
        <v>24</v>
      </c>
      <c r="F699" s="260">
        <f t="shared" si="87"/>
        <v>116.50485436893203</v>
      </c>
      <c r="G699" s="254">
        <f t="shared" si="88"/>
        <v>-16.50485436893203</v>
      </c>
      <c r="H699" s="255">
        <f t="shared" si="82"/>
        <v>0</v>
      </c>
      <c r="I699" s="256">
        <v>2.5</v>
      </c>
      <c r="J699" s="256">
        <v>0</v>
      </c>
      <c r="K699" s="213">
        <f t="shared" si="85"/>
        <v>0.83333333333333337</v>
      </c>
    </row>
    <row r="700" spans="1:11" x14ac:dyDescent="0.2">
      <c r="A700" s="7"/>
      <c r="B700" s="252"/>
      <c r="C700" s="252"/>
      <c r="D700" s="231">
        <v>29</v>
      </c>
      <c r="E700" s="253">
        <v>24.5</v>
      </c>
      <c r="F700" s="260">
        <f t="shared" si="87"/>
        <v>118.93203883495144</v>
      </c>
      <c r="G700" s="254">
        <f t="shared" si="88"/>
        <v>-18.932038834951442</v>
      </c>
      <c r="H700" s="255">
        <f t="shared" si="82"/>
        <v>0</v>
      </c>
      <c r="I700" s="256">
        <v>1.5</v>
      </c>
      <c r="J700" s="256">
        <v>0</v>
      </c>
      <c r="K700" s="213">
        <f t="shared" si="85"/>
        <v>0.5</v>
      </c>
    </row>
    <row r="701" spans="1:11" x14ac:dyDescent="0.2">
      <c r="A701" s="7"/>
      <c r="B701" s="252"/>
      <c r="C701" s="252" t="s">
        <v>15</v>
      </c>
      <c r="D701" s="210">
        <v>31</v>
      </c>
      <c r="E701" s="253">
        <v>23.4</v>
      </c>
      <c r="F701" s="260">
        <f t="shared" si="87"/>
        <v>113.59223300970874</v>
      </c>
      <c r="G701" s="254">
        <f t="shared" si="88"/>
        <v>-13.592233009708735</v>
      </c>
      <c r="H701" s="255">
        <f t="shared" si="82"/>
        <v>0</v>
      </c>
      <c r="I701" s="256">
        <v>3.5</v>
      </c>
      <c r="J701" s="256">
        <v>0</v>
      </c>
      <c r="K701" s="213">
        <f>AVERAGE(H701:J701)</f>
        <v>1.1666666666666667</v>
      </c>
    </row>
    <row r="702" spans="1:11" x14ac:dyDescent="0.2">
      <c r="B702" s="252"/>
      <c r="C702" s="252"/>
      <c r="D702" s="216">
        <v>33</v>
      </c>
      <c r="E702" s="253">
        <v>22.5</v>
      </c>
      <c r="F702" s="260">
        <f t="shared" si="87"/>
        <v>109.22330097087378</v>
      </c>
      <c r="G702" s="254">
        <f t="shared" si="88"/>
        <v>-9.2233009708737796</v>
      </c>
      <c r="H702" s="255">
        <f t="shared" si="82"/>
        <v>0</v>
      </c>
      <c r="I702" s="256">
        <v>2.5</v>
      </c>
      <c r="J702" s="256">
        <v>0.5</v>
      </c>
      <c r="K702" s="1">
        <f t="shared" ref="K702:K715" si="89">AVERAGE(H702:J702)</f>
        <v>1</v>
      </c>
    </row>
    <row r="703" spans="1:11" x14ac:dyDescent="0.2">
      <c r="B703" s="252"/>
      <c r="C703" s="252" t="s">
        <v>16</v>
      </c>
      <c r="D703" s="216">
        <v>36</v>
      </c>
      <c r="E703" s="253">
        <v>23.2</v>
      </c>
      <c r="F703" s="260">
        <f t="shared" si="87"/>
        <v>112.62135922330097</v>
      </c>
      <c r="G703" s="254">
        <f t="shared" si="88"/>
        <v>-12.621359223300971</v>
      </c>
      <c r="H703" s="255">
        <f t="shared" si="82"/>
        <v>0</v>
      </c>
      <c r="I703" s="256">
        <v>3</v>
      </c>
      <c r="J703" s="256">
        <v>3.5</v>
      </c>
      <c r="K703" s="1">
        <f t="shared" si="89"/>
        <v>2.1666666666666665</v>
      </c>
    </row>
    <row r="704" spans="1:11" x14ac:dyDescent="0.2">
      <c r="B704" s="252"/>
      <c r="C704" s="252"/>
      <c r="D704" s="216">
        <v>38</v>
      </c>
      <c r="E704" s="253">
        <v>21.6</v>
      </c>
      <c r="F704" s="260">
        <f t="shared" si="87"/>
        <v>104.85436893203884</v>
      </c>
      <c r="G704" s="254">
        <f t="shared" si="88"/>
        <v>-4.8543689320388381</v>
      </c>
      <c r="H704" s="255">
        <f t="shared" si="82"/>
        <v>0</v>
      </c>
      <c r="I704" s="256">
        <v>4</v>
      </c>
      <c r="J704" s="256">
        <v>0</v>
      </c>
      <c r="K704" s="1">
        <f t="shared" si="89"/>
        <v>1.3333333333333333</v>
      </c>
    </row>
    <row r="705" spans="2:11" x14ac:dyDescent="0.2">
      <c r="B705" s="252"/>
      <c r="C705" s="252"/>
      <c r="D705" s="216">
        <v>40</v>
      </c>
      <c r="E705" s="253"/>
      <c r="F705" s="254">
        <f t="shared" ref="F705:F715" si="90">E705/$E$632*100</f>
        <v>0</v>
      </c>
      <c r="G705" s="254">
        <f t="shared" si="88"/>
        <v>100</v>
      </c>
      <c r="H705" s="255">
        <f t="shared" si="82"/>
        <v>4</v>
      </c>
      <c r="I705" s="256"/>
      <c r="J705" s="256"/>
      <c r="K705" s="1">
        <f t="shared" si="89"/>
        <v>4</v>
      </c>
    </row>
    <row r="706" spans="2:11" x14ac:dyDescent="0.2">
      <c r="B706" s="252"/>
      <c r="C706" s="252" t="s">
        <v>15</v>
      </c>
      <c r="D706" s="216">
        <v>43</v>
      </c>
      <c r="E706" s="253"/>
      <c r="F706" s="254">
        <f t="shared" si="90"/>
        <v>0</v>
      </c>
      <c r="G706" s="254">
        <f t="shared" si="88"/>
        <v>100</v>
      </c>
      <c r="H706" s="255">
        <f t="shared" si="82"/>
        <v>4</v>
      </c>
      <c r="I706" s="256"/>
      <c r="J706" s="256"/>
      <c r="K706" s="1">
        <f t="shared" si="89"/>
        <v>4</v>
      </c>
    </row>
    <row r="707" spans="2:11" x14ac:dyDescent="0.2">
      <c r="B707" s="252"/>
      <c r="C707" s="252"/>
      <c r="D707" s="216">
        <v>45</v>
      </c>
      <c r="E707" s="253"/>
      <c r="F707" s="254">
        <f t="shared" si="90"/>
        <v>0</v>
      </c>
      <c r="G707" s="254">
        <f t="shared" si="88"/>
        <v>100</v>
      </c>
      <c r="H707" s="255">
        <f t="shared" si="82"/>
        <v>4</v>
      </c>
      <c r="I707" s="256"/>
      <c r="J707" s="256"/>
      <c r="K707" s="1">
        <f t="shared" si="89"/>
        <v>4</v>
      </c>
    </row>
    <row r="708" spans="2:11" x14ac:dyDescent="0.2">
      <c r="B708" s="252"/>
      <c r="C708" s="252"/>
      <c r="D708" s="231">
        <v>47</v>
      </c>
      <c r="E708" s="253"/>
      <c r="F708" s="254">
        <f t="shared" si="90"/>
        <v>0</v>
      </c>
      <c r="G708" s="254">
        <f t="shared" si="88"/>
        <v>100</v>
      </c>
      <c r="H708" s="255">
        <f t="shared" si="82"/>
        <v>4</v>
      </c>
      <c r="I708" s="256"/>
      <c r="J708" s="256"/>
      <c r="K708" s="1">
        <f t="shared" si="89"/>
        <v>4</v>
      </c>
    </row>
    <row r="709" spans="2:11" x14ac:dyDescent="0.2">
      <c r="B709" s="252"/>
      <c r="C709" s="252" t="s">
        <v>16</v>
      </c>
      <c r="D709" s="231">
        <v>50</v>
      </c>
      <c r="E709" s="253"/>
      <c r="F709" s="254">
        <f t="shared" si="90"/>
        <v>0</v>
      </c>
      <c r="G709" s="254">
        <f t="shared" si="88"/>
        <v>100</v>
      </c>
      <c r="H709" s="255">
        <f t="shared" si="82"/>
        <v>4</v>
      </c>
      <c r="I709" s="256"/>
      <c r="J709" s="256"/>
      <c r="K709" s="1">
        <f t="shared" si="89"/>
        <v>4</v>
      </c>
    </row>
    <row r="710" spans="2:11" x14ac:dyDescent="0.2">
      <c r="B710" s="252"/>
      <c r="C710" s="252"/>
      <c r="D710" s="231">
        <v>52</v>
      </c>
      <c r="E710" s="253"/>
      <c r="F710" s="254">
        <f t="shared" si="90"/>
        <v>0</v>
      </c>
      <c r="G710" s="254">
        <f t="shared" si="88"/>
        <v>100</v>
      </c>
      <c r="H710" s="255">
        <f t="shared" si="82"/>
        <v>4</v>
      </c>
      <c r="I710" s="256"/>
      <c r="J710" s="256"/>
      <c r="K710" s="1">
        <f t="shared" si="89"/>
        <v>4</v>
      </c>
    </row>
    <row r="711" spans="2:11" x14ac:dyDescent="0.2">
      <c r="B711" s="252"/>
      <c r="C711" s="252"/>
      <c r="D711" s="231">
        <v>54</v>
      </c>
      <c r="E711" s="253"/>
      <c r="F711" s="254">
        <f t="shared" si="90"/>
        <v>0</v>
      </c>
      <c r="G711" s="254">
        <f t="shared" si="88"/>
        <v>100</v>
      </c>
      <c r="H711" s="255">
        <f t="shared" si="82"/>
        <v>4</v>
      </c>
      <c r="I711" s="256"/>
      <c r="J711" s="256"/>
      <c r="K711" s="1">
        <f t="shared" si="89"/>
        <v>4</v>
      </c>
    </row>
    <row r="712" spans="2:11" x14ac:dyDescent="0.2">
      <c r="B712" s="252"/>
      <c r="C712" s="252" t="s">
        <v>15</v>
      </c>
      <c r="D712" s="231">
        <v>57</v>
      </c>
      <c r="E712" s="253"/>
      <c r="F712" s="254">
        <f t="shared" si="90"/>
        <v>0</v>
      </c>
      <c r="G712" s="254">
        <f t="shared" si="88"/>
        <v>100</v>
      </c>
      <c r="H712" s="255">
        <f t="shared" si="82"/>
        <v>4</v>
      </c>
      <c r="I712" s="256"/>
      <c r="J712" s="256"/>
      <c r="K712" s="1">
        <f t="shared" si="89"/>
        <v>4</v>
      </c>
    </row>
    <row r="713" spans="2:11" x14ac:dyDescent="0.2">
      <c r="B713" s="252"/>
      <c r="C713" s="252"/>
      <c r="D713" s="231">
        <v>59</v>
      </c>
      <c r="E713" s="253"/>
      <c r="F713" s="254">
        <f t="shared" si="90"/>
        <v>0</v>
      </c>
      <c r="G713" s="254">
        <f t="shared" si="88"/>
        <v>100</v>
      </c>
      <c r="H713" s="255">
        <f t="shared" si="82"/>
        <v>4</v>
      </c>
      <c r="I713" s="256"/>
      <c r="J713" s="256"/>
      <c r="K713" s="1">
        <f t="shared" si="89"/>
        <v>4</v>
      </c>
    </row>
    <row r="714" spans="2:11" x14ac:dyDescent="0.2">
      <c r="B714" s="252"/>
      <c r="C714" s="252"/>
      <c r="D714" s="231">
        <v>61</v>
      </c>
      <c r="E714" s="253"/>
      <c r="F714" s="254">
        <f t="shared" si="90"/>
        <v>0</v>
      </c>
      <c r="G714" s="254">
        <f t="shared" si="88"/>
        <v>100</v>
      </c>
      <c r="H714" s="255">
        <f t="shared" si="82"/>
        <v>4</v>
      </c>
      <c r="I714" s="256"/>
      <c r="J714" s="256"/>
      <c r="K714" s="1">
        <f t="shared" si="89"/>
        <v>4</v>
      </c>
    </row>
    <row r="715" spans="2:11" ht="17" thickBot="1" x14ac:dyDescent="0.25">
      <c r="B715" s="252"/>
      <c r="C715" s="252"/>
      <c r="D715" s="242">
        <v>64</v>
      </c>
      <c r="E715" s="253"/>
      <c r="F715" s="254">
        <f t="shared" si="90"/>
        <v>0</v>
      </c>
      <c r="G715" s="254">
        <f t="shared" si="88"/>
        <v>100</v>
      </c>
      <c r="H715" s="255">
        <f t="shared" si="82"/>
        <v>4</v>
      </c>
      <c r="I715" s="256"/>
      <c r="J715" s="256"/>
      <c r="K715" s="1">
        <f t="shared" si="89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 2°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Versiglia</dc:creator>
  <cp:lastModifiedBy>Alice Versiglia</cp:lastModifiedBy>
  <dcterms:created xsi:type="dcterms:W3CDTF">2026-01-27T10:34:41Z</dcterms:created>
  <dcterms:modified xsi:type="dcterms:W3CDTF">2026-05-20T12:06:38Z</dcterms:modified>
</cp:coreProperties>
</file>