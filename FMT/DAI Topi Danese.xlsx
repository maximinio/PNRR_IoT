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iceversiglia/Desktop/"/>
    </mc:Choice>
  </mc:AlternateContent>
  <xr:revisionPtr revIDLastSave="0" documentId="13_ncr:1_{21EF153E-5813-EC44-BD8F-3DD771D5DF5E}" xr6:coauthVersionLast="47" xr6:coauthVersionMax="47" xr10:uidLastSave="{00000000-0000-0000-0000-000000000000}"/>
  <bookViews>
    <workbookView xWindow="0" yWindow="680" windowWidth="12940" windowHeight="17280" activeTab="1" xr2:uid="{93FF8672-4692-4D48-A16D-C9F767794B29}"/>
  </bookViews>
  <sheets>
    <sheet name="peso" sheetId="1" r:id="rId1"/>
    <sheet name="DA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45" i="1" l="1"/>
  <c r="AD44" i="1"/>
  <c r="AD43" i="1"/>
  <c r="AD42" i="1"/>
  <c r="AD41" i="1"/>
  <c r="AD40" i="1"/>
  <c r="AD38" i="1"/>
  <c r="AD36" i="1"/>
  <c r="AD35" i="1"/>
  <c r="AD34" i="1"/>
  <c r="AD33" i="1"/>
  <c r="AD32" i="1"/>
  <c r="AD31" i="1"/>
  <c r="F420" i="2"/>
  <c r="G420" i="2" s="1"/>
  <c r="H420" i="2" s="1"/>
  <c r="K420" i="2" s="1"/>
  <c r="F392" i="2"/>
  <c r="G392" i="2" s="1"/>
  <c r="H392" i="2" s="1"/>
  <c r="K392" i="2" s="1"/>
  <c r="F364" i="2"/>
  <c r="G364" i="2" s="1"/>
  <c r="H364" i="2" s="1"/>
  <c r="K364" i="2" s="1"/>
  <c r="F333" i="2"/>
  <c r="G333" i="2" s="1"/>
  <c r="H333" i="2" s="1"/>
  <c r="K333" i="2" s="1"/>
  <c r="F305" i="2"/>
  <c r="G305" i="2" s="1"/>
  <c r="H305" i="2" s="1"/>
  <c r="K305" i="2" s="1"/>
  <c r="F277" i="2"/>
  <c r="G277" i="2" s="1"/>
  <c r="H277" i="2" s="1"/>
  <c r="K277" i="2" s="1"/>
  <c r="F224" i="2"/>
  <c r="G224" i="2" s="1"/>
  <c r="H224" i="2" s="1"/>
  <c r="K224" i="2" s="1"/>
  <c r="F171" i="2"/>
  <c r="G171" i="2" s="1"/>
  <c r="H171" i="2" s="1"/>
  <c r="K171" i="2" s="1"/>
  <c r="F143" i="2"/>
  <c r="G143" i="2" s="1"/>
  <c r="H143" i="2" s="1"/>
  <c r="K143" i="2" s="1"/>
  <c r="F115" i="2"/>
  <c r="G115" i="2" s="1"/>
  <c r="H115" i="2" s="1"/>
  <c r="K115" i="2" s="1"/>
  <c r="F84" i="2"/>
  <c r="G84" i="2" s="1"/>
  <c r="H84" i="2" s="1"/>
  <c r="K84" i="2" s="1"/>
  <c r="F85" i="2"/>
  <c r="G85" i="2" s="1"/>
  <c r="H85" i="2" s="1"/>
  <c r="K85" i="2" s="1"/>
  <c r="F57" i="2"/>
  <c r="G57" i="2" s="1"/>
  <c r="H57" i="2" s="1"/>
  <c r="K57" i="2" s="1"/>
  <c r="F29" i="2"/>
  <c r="G29" i="2" s="1"/>
  <c r="H29" i="2" s="1"/>
  <c r="K29" i="2" s="1"/>
  <c r="F419" i="2"/>
  <c r="G419" i="2" s="1"/>
  <c r="H419" i="2" s="1"/>
  <c r="K419" i="2" s="1"/>
  <c r="F391" i="2"/>
  <c r="G391" i="2" s="1"/>
  <c r="H391" i="2" s="1"/>
  <c r="K391" i="2" s="1"/>
  <c r="F363" i="2"/>
  <c r="G363" i="2" s="1"/>
  <c r="H363" i="2" s="1"/>
  <c r="K363" i="2" s="1"/>
  <c r="F332" i="2"/>
  <c r="G332" i="2" s="1"/>
  <c r="H332" i="2" s="1"/>
  <c r="K332" i="2" s="1"/>
  <c r="F304" i="2"/>
  <c r="G304" i="2" s="1"/>
  <c r="H304" i="2" s="1"/>
  <c r="K304" i="2" s="1"/>
  <c r="F276" i="2"/>
  <c r="G276" i="2" s="1"/>
  <c r="H276" i="2" s="1"/>
  <c r="K276" i="2" s="1"/>
  <c r="F223" i="2"/>
  <c r="G223" i="2" s="1"/>
  <c r="H223" i="2" s="1"/>
  <c r="K223" i="2" s="1"/>
  <c r="F170" i="2"/>
  <c r="G170" i="2" s="1"/>
  <c r="H170" i="2" s="1"/>
  <c r="K170" i="2" s="1"/>
  <c r="F142" i="2"/>
  <c r="G142" i="2" s="1"/>
  <c r="H142" i="2" s="1"/>
  <c r="K142" i="2" s="1"/>
  <c r="F114" i="2"/>
  <c r="G114" i="2" s="1"/>
  <c r="H114" i="2" s="1"/>
  <c r="K114" i="2" s="1"/>
  <c r="F56" i="2"/>
  <c r="G56" i="2" s="1"/>
  <c r="H56" i="2" s="1"/>
  <c r="K56" i="2" s="1"/>
  <c r="F28" i="2"/>
  <c r="G28" i="2" s="1"/>
  <c r="H28" i="2" s="1"/>
  <c r="K28" i="2" s="1"/>
  <c r="AC45" i="1"/>
  <c r="AC44" i="1"/>
  <c r="AC43" i="1"/>
  <c r="AC42" i="1"/>
  <c r="AC41" i="1"/>
  <c r="AC40" i="1"/>
  <c r="AC38" i="1"/>
  <c r="AC36" i="1"/>
  <c r="AC35" i="1"/>
  <c r="AC34" i="1"/>
  <c r="AC33" i="1"/>
  <c r="AC32" i="1"/>
  <c r="AC31" i="1"/>
  <c r="AB45" i="1"/>
  <c r="AB44" i="1"/>
  <c r="AB43" i="1"/>
  <c r="AB42" i="1"/>
  <c r="AB41" i="1"/>
  <c r="AB40" i="1"/>
  <c r="AB38" i="1"/>
  <c r="AB36" i="1"/>
  <c r="AB35" i="1"/>
  <c r="AB34" i="1"/>
  <c r="AB33" i="1"/>
  <c r="AB32" i="1"/>
  <c r="AB31" i="1"/>
  <c r="F418" i="2"/>
  <c r="G418" i="2" s="1"/>
  <c r="H418" i="2" s="1"/>
  <c r="K418" i="2" s="1"/>
  <c r="F390" i="2"/>
  <c r="G390" i="2" s="1"/>
  <c r="H390" i="2" s="1"/>
  <c r="K390" i="2" s="1"/>
  <c r="F362" i="2"/>
  <c r="G362" i="2" s="1"/>
  <c r="H362" i="2" s="1"/>
  <c r="K362" i="2" s="1"/>
  <c r="F331" i="2"/>
  <c r="G331" i="2" s="1"/>
  <c r="H331" i="2" s="1"/>
  <c r="K331" i="2" s="1"/>
  <c r="F303" i="2"/>
  <c r="G303" i="2" s="1"/>
  <c r="H303" i="2" s="1"/>
  <c r="K303" i="2" s="1"/>
  <c r="F275" i="2"/>
  <c r="G275" i="2" s="1"/>
  <c r="H275" i="2" s="1"/>
  <c r="K275" i="2" s="1"/>
  <c r="F222" i="2"/>
  <c r="G222" i="2" s="1"/>
  <c r="H222" i="2" s="1"/>
  <c r="K222" i="2" s="1"/>
  <c r="F169" i="2"/>
  <c r="G169" i="2" s="1"/>
  <c r="H169" i="2" s="1"/>
  <c r="K169" i="2" s="1"/>
  <c r="F141" i="2"/>
  <c r="G141" i="2" s="1"/>
  <c r="H141" i="2" s="1"/>
  <c r="K141" i="2" s="1"/>
  <c r="F113" i="2"/>
  <c r="G113" i="2" s="1"/>
  <c r="H113" i="2" s="1"/>
  <c r="K113" i="2" s="1"/>
  <c r="F83" i="2"/>
  <c r="G83" i="2" s="1"/>
  <c r="H83" i="2" s="1"/>
  <c r="K83" i="2" s="1"/>
  <c r="F55" i="2"/>
  <c r="G55" i="2" s="1"/>
  <c r="H55" i="2" s="1"/>
  <c r="K55" i="2" s="1"/>
  <c r="F27" i="2"/>
  <c r="G27" i="2" s="1"/>
  <c r="H27" i="2" s="1"/>
  <c r="K27" i="2" s="1"/>
  <c r="F417" i="2"/>
  <c r="G417" i="2" s="1"/>
  <c r="H417" i="2" s="1"/>
  <c r="K417" i="2" s="1"/>
  <c r="F389" i="2"/>
  <c r="G389" i="2" s="1"/>
  <c r="H389" i="2" s="1"/>
  <c r="K389" i="2" s="1"/>
  <c r="F361" i="2"/>
  <c r="G361" i="2" s="1"/>
  <c r="H361" i="2" s="1"/>
  <c r="K361" i="2" s="1"/>
  <c r="F330" i="2"/>
  <c r="G330" i="2" s="1"/>
  <c r="H330" i="2" s="1"/>
  <c r="K330" i="2" s="1"/>
  <c r="F302" i="2"/>
  <c r="G302" i="2" s="1"/>
  <c r="H302" i="2" s="1"/>
  <c r="K302" i="2" s="1"/>
  <c r="F274" i="2"/>
  <c r="G274" i="2" s="1"/>
  <c r="H274" i="2" s="1"/>
  <c r="K274" i="2" s="1"/>
  <c r="F221" i="2"/>
  <c r="G221" i="2" s="1"/>
  <c r="H221" i="2" s="1"/>
  <c r="K221" i="2" s="1"/>
  <c r="F168" i="2"/>
  <c r="G168" i="2" s="1"/>
  <c r="H168" i="2" s="1"/>
  <c r="K168" i="2" s="1"/>
  <c r="F140" i="2"/>
  <c r="G140" i="2" s="1"/>
  <c r="H140" i="2" s="1"/>
  <c r="K140" i="2" s="1"/>
  <c r="F112" i="2"/>
  <c r="G112" i="2" s="1"/>
  <c r="H112" i="2" s="1"/>
  <c r="K112" i="2" s="1"/>
  <c r="F82" i="2"/>
  <c r="G82" i="2" s="1"/>
  <c r="H82" i="2" s="1"/>
  <c r="K82" i="2" s="1"/>
  <c r="F54" i="2"/>
  <c r="G54" i="2" s="1"/>
  <c r="H54" i="2" s="1"/>
  <c r="K54" i="2" s="1"/>
  <c r="F26" i="2"/>
  <c r="G26" i="2" s="1"/>
  <c r="H26" i="2" s="1"/>
  <c r="K26" i="2" s="1"/>
  <c r="AA45" i="1"/>
  <c r="AA44" i="1"/>
  <c r="AA43" i="1"/>
  <c r="AA42" i="1"/>
  <c r="AA41" i="1"/>
  <c r="AA40" i="1"/>
  <c r="AA38" i="1"/>
  <c r="AA36" i="1"/>
  <c r="AA35" i="1"/>
  <c r="AA34" i="1"/>
  <c r="AA33" i="1"/>
  <c r="AA32" i="1"/>
  <c r="AA31" i="1"/>
  <c r="F416" i="2"/>
  <c r="G416" i="2" s="1"/>
  <c r="H416" i="2" s="1"/>
  <c r="K416" i="2" s="1"/>
  <c r="F388" i="2"/>
  <c r="G388" i="2" s="1"/>
  <c r="H388" i="2" s="1"/>
  <c r="K388" i="2" s="1"/>
  <c r="F360" i="2"/>
  <c r="G360" i="2" s="1"/>
  <c r="H360" i="2" s="1"/>
  <c r="K360" i="2" s="1"/>
  <c r="F329" i="2"/>
  <c r="G329" i="2" s="1"/>
  <c r="H329" i="2" s="1"/>
  <c r="K329" i="2" s="1"/>
  <c r="F301" i="2"/>
  <c r="G301" i="2" s="1"/>
  <c r="H301" i="2" s="1"/>
  <c r="F273" i="2"/>
  <c r="G273" i="2" s="1"/>
  <c r="H273" i="2" s="1"/>
  <c r="K273" i="2" s="1"/>
  <c r="F220" i="2"/>
  <c r="G220" i="2" s="1"/>
  <c r="H220" i="2" s="1"/>
  <c r="K220" i="2" s="1"/>
  <c r="F167" i="2"/>
  <c r="G167" i="2" s="1"/>
  <c r="H167" i="2" s="1"/>
  <c r="K167" i="2" s="1"/>
  <c r="F139" i="2"/>
  <c r="G139" i="2" s="1"/>
  <c r="H139" i="2" s="1"/>
  <c r="K139" i="2" s="1"/>
  <c r="F111" i="2"/>
  <c r="G111" i="2" s="1"/>
  <c r="H111" i="2" s="1"/>
  <c r="K111" i="2" s="1"/>
  <c r="F81" i="2"/>
  <c r="G81" i="2" s="1"/>
  <c r="H81" i="2" s="1"/>
  <c r="K81" i="2" s="1"/>
  <c r="F53" i="2"/>
  <c r="G53" i="2" s="1"/>
  <c r="H53" i="2" s="1"/>
  <c r="K53" i="2" s="1"/>
  <c r="F25" i="2"/>
  <c r="G25" i="2" s="1"/>
  <c r="H25" i="2" s="1"/>
  <c r="K25" i="2" s="1"/>
  <c r="Z45" i="1"/>
  <c r="Z44" i="1"/>
  <c r="Z43" i="1"/>
  <c r="Z42" i="1"/>
  <c r="Z41" i="1"/>
  <c r="Z1048576" i="1"/>
  <c r="Z40" i="1"/>
  <c r="Z38" i="1"/>
  <c r="Z36" i="1"/>
  <c r="Z35" i="1"/>
  <c r="Z34" i="1"/>
  <c r="Z33" i="1"/>
  <c r="Z32" i="1"/>
  <c r="Z31" i="1"/>
  <c r="F415" i="2"/>
  <c r="G415" i="2" s="1"/>
  <c r="H415" i="2" s="1"/>
  <c r="K415" i="2" s="1"/>
  <c r="F387" i="2"/>
  <c r="G387" i="2" s="1"/>
  <c r="H387" i="2" s="1"/>
  <c r="K387" i="2" s="1"/>
  <c r="F359" i="2"/>
  <c r="G359" i="2" s="1"/>
  <c r="H359" i="2" s="1"/>
  <c r="K359" i="2" s="1"/>
  <c r="F328" i="2"/>
  <c r="G328" i="2" s="1"/>
  <c r="H328" i="2" s="1"/>
  <c r="K328" i="2" s="1"/>
  <c r="F300" i="2"/>
  <c r="G300" i="2" s="1"/>
  <c r="H300" i="2" s="1"/>
  <c r="K300" i="2" s="1"/>
  <c r="F272" i="2"/>
  <c r="G272" i="2" s="1"/>
  <c r="H272" i="2" s="1"/>
  <c r="K272" i="2" s="1"/>
  <c r="F247" i="2"/>
  <c r="G247" i="2" s="1"/>
  <c r="H247" i="2" s="1"/>
  <c r="F219" i="2"/>
  <c r="G219" i="2" s="1"/>
  <c r="H219" i="2" s="1"/>
  <c r="K219" i="2" s="1"/>
  <c r="F166" i="2"/>
  <c r="G166" i="2" s="1"/>
  <c r="H166" i="2" s="1"/>
  <c r="K166" i="2" s="1"/>
  <c r="F138" i="2"/>
  <c r="G138" i="2" s="1"/>
  <c r="H138" i="2" s="1"/>
  <c r="K138" i="2" s="1"/>
  <c r="F110" i="2"/>
  <c r="G110" i="2" s="1"/>
  <c r="H110" i="2" s="1"/>
  <c r="K110" i="2" s="1"/>
  <c r="F80" i="2"/>
  <c r="G80" i="2" s="1"/>
  <c r="H80" i="2" s="1"/>
  <c r="K80" i="2" s="1"/>
  <c r="F52" i="2"/>
  <c r="G52" i="2" s="1"/>
  <c r="H52" i="2" s="1"/>
  <c r="K52" i="2" s="1"/>
  <c r="F24" i="2"/>
  <c r="G24" i="2" s="1"/>
  <c r="H24" i="2" s="1"/>
  <c r="K24" i="2" s="1"/>
  <c r="Y45" i="1"/>
  <c r="Y44" i="1"/>
  <c r="Y43" i="1"/>
  <c r="Y42" i="1"/>
  <c r="Y41" i="1"/>
  <c r="Y40" i="1"/>
  <c r="Y39" i="1"/>
  <c r="Y38" i="1"/>
  <c r="Y36" i="1"/>
  <c r="Y35" i="1"/>
  <c r="Y34" i="1"/>
  <c r="Y33" i="1"/>
  <c r="Y32" i="1"/>
  <c r="Y31" i="1"/>
  <c r="F413" i="2"/>
  <c r="G413" i="2" s="1"/>
  <c r="H413" i="2" s="1"/>
  <c r="K413" i="2" s="1"/>
  <c r="F385" i="2"/>
  <c r="G385" i="2" s="1"/>
  <c r="H385" i="2" s="1"/>
  <c r="K385" i="2" s="1"/>
  <c r="F414" i="2"/>
  <c r="G414" i="2" s="1"/>
  <c r="H414" i="2" s="1"/>
  <c r="K414" i="2" s="1"/>
  <c r="F386" i="2"/>
  <c r="G386" i="2" s="1"/>
  <c r="H386" i="2" s="1"/>
  <c r="K386" i="2" s="1"/>
  <c r="F358" i="2"/>
  <c r="G358" i="2" s="1"/>
  <c r="H358" i="2" s="1"/>
  <c r="K358" i="2" s="1"/>
  <c r="F357" i="2"/>
  <c r="G357" i="2" s="1"/>
  <c r="H357" i="2" s="1"/>
  <c r="K357" i="2" s="1"/>
  <c r="F327" i="2"/>
  <c r="G327" i="2" s="1"/>
  <c r="H327" i="2" s="1"/>
  <c r="K327" i="2" s="1"/>
  <c r="F299" i="2"/>
  <c r="G299" i="2" s="1"/>
  <c r="H299" i="2" s="1"/>
  <c r="K299" i="2" s="1"/>
  <c r="F271" i="2"/>
  <c r="G271" i="2" s="1"/>
  <c r="H271" i="2" s="1"/>
  <c r="K271" i="2" s="1"/>
  <c r="F326" i="2"/>
  <c r="G326" i="2" s="1"/>
  <c r="H326" i="2" s="1"/>
  <c r="K326" i="2" s="1"/>
  <c r="F298" i="2"/>
  <c r="G298" i="2" s="1"/>
  <c r="H298" i="2" s="1"/>
  <c r="K298" i="2" s="1"/>
  <c r="F270" i="2"/>
  <c r="G270" i="2" s="1"/>
  <c r="H270" i="2" s="1"/>
  <c r="K270" i="2" s="1"/>
  <c r="F246" i="2"/>
  <c r="G246" i="2" s="1"/>
  <c r="H246" i="2" s="1"/>
  <c r="K246" i="2" s="1"/>
  <c r="F245" i="2"/>
  <c r="G245" i="2" s="1"/>
  <c r="H245" i="2" s="1"/>
  <c r="K245" i="2" s="1"/>
  <c r="F217" i="2"/>
  <c r="G217" i="2" s="1"/>
  <c r="H217" i="2" s="1"/>
  <c r="K217" i="2" s="1"/>
  <c r="F218" i="2"/>
  <c r="G218" i="2" s="1"/>
  <c r="H218" i="2" s="1"/>
  <c r="K218" i="2" s="1"/>
  <c r="F195" i="2"/>
  <c r="G195" i="2" s="1"/>
  <c r="H195" i="2" s="1"/>
  <c r="K195" i="2" s="1"/>
  <c r="F164" i="2"/>
  <c r="G164" i="2" s="1"/>
  <c r="H164" i="2" s="1"/>
  <c r="K164" i="2" s="1"/>
  <c r="F165" i="2"/>
  <c r="G165" i="2" s="1"/>
  <c r="H165" i="2" s="1"/>
  <c r="K165" i="2" s="1"/>
  <c r="F137" i="2"/>
  <c r="G137" i="2" s="1"/>
  <c r="H137" i="2" s="1"/>
  <c r="K137" i="2" s="1"/>
  <c r="F136" i="2"/>
  <c r="G136" i="2" s="1"/>
  <c r="H136" i="2" s="1"/>
  <c r="K136" i="2" s="1"/>
  <c r="F109" i="2"/>
  <c r="G109" i="2" s="1"/>
  <c r="H109" i="2" s="1"/>
  <c r="K109" i="2" s="1"/>
  <c r="F108" i="2"/>
  <c r="G108" i="2" s="1"/>
  <c r="H108" i="2" s="1"/>
  <c r="K108" i="2" s="1"/>
  <c r="F79" i="2"/>
  <c r="G79" i="2" s="1"/>
  <c r="H79" i="2" s="1"/>
  <c r="K79" i="2" s="1"/>
  <c r="F78" i="2"/>
  <c r="G78" i="2" s="1"/>
  <c r="H78" i="2" s="1"/>
  <c r="K78" i="2" s="1"/>
  <c r="F51" i="2"/>
  <c r="G51" i="2" s="1"/>
  <c r="H51" i="2" s="1"/>
  <c r="K51" i="2" s="1"/>
  <c r="F50" i="2"/>
  <c r="G50" i="2" s="1"/>
  <c r="H50" i="2" s="1"/>
  <c r="K50" i="2" s="1"/>
  <c r="F23" i="2"/>
  <c r="G23" i="2" s="1"/>
  <c r="H23" i="2" s="1"/>
  <c r="K23" i="2" s="1"/>
  <c r="F22" i="2"/>
  <c r="G22" i="2" s="1"/>
  <c r="H22" i="2" s="1"/>
  <c r="K22" i="2" s="1"/>
  <c r="X45" i="1"/>
  <c r="X44" i="1"/>
  <c r="X43" i="1"/>
  <c r="X42" i="1"/>
  <c r="X41" i="1"/>
  <c r="X40" i="1"/>
  <c r="X39" i="1"/>
  <c r="X38" i="1"/>
  <c r="X36" i="1"/>
  <c r="X35" i="1"/>
  <c r="X34" i="1"/>
  <c r="X33" i="1"/>
  <c r="X32" i="1"/>
  <c r="X31" i="1"/>
  <c r="W32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1" i="1"/>
  <c r="F412" i="2"/>
  <c r="G412" i="2" s="1"/>
  <c r="H412" i="2" s="1"/>
  <c r="K412" i="2" s="1"/>
  <c r="F411" i="2"/>
  <c r="G411" i="2" s="1"/>
  <c r="H411" i="2" s="1"/>
  <c r="K411" i="2" s="1"/>
  <c r="F384" i="2"/>
  <c r="G384" i="2" s="1"/>
  <c r="H384" i="2" s="1"/>
  <c r="K384" i="2" s="1"/>
  <c r="F383" i="2"/>
  <c r="G383" i="2" s="1"/>
  <c r="H383" i="2" s="1"/>
  <c r="K383" i="2" s="1"/>
  <c r="F356" i="2"/>
  <c r="G356" i="2" s="1"/>
  <c r="H356" i="2" s="1"/>
  <c r="K356" i="2" s="1"/>
  <c r="F355" i="2"/>
  <c r="G355" i="2" s="1"/>
  <c r="H355" i="2" s="1"/>
  <c r="K355" i="2" s="1"/>
  <c r="F325" i="2"/>
  <c r="G325" i="2" s="1"/>
  <c r="H325" i="2" s="1"/>
  <c r="K325" i="2" s="1"/>
  <c r="F324" i="2"/>
  <c r="G324" i="2" s="1"/>
  <c r="H324" i="2" s="1"/>
  <c r="K324" i="2" s="1"/>
  <c r="F297" i="2"/>
  <c r="G297" i="2" s="1"/>
  <c r="H297" i="2" s="1"/>
  <c r="K297" i="2" s="1"/>
  <c r="F296" i="2"/>
  <c r="G296" i="2" s="1"/>
  <c r="H296" i="2" s="1"/>
  <c r="K296" i="2" s="1"/>
  <c r="F269" i="2"/>
  <c r="G269" i="2" s="1"/>
  <c r="H269" i="2" s="1"/>
  <c r="K269" i="2" s="1"/>
  <c r="F268" i="2"/>
  <c r="G268" i="2" s="1"/>
  <c r="H268" i="2" s="1"/>
  <c r="K268" i="2" s="1"/>
  <c r="F244" i="2"/>
  <c r="G244" i="2" s="1"/>
  <c r="H244" i="2" s="1"/>
  <c r="K244" i="2" s="1"/>
  <c r="F243" i="2"/>
  <c r="G243" i="2" s="1"/>
  <c r="H243" i="2" s="1"/>
  <c r="K243" i="2" s="1"/>
  <c r="F216" i="2"/>
  <c r="G216" i="2" s="1"/>
  <c r="H216" i="2" s="1"/>
  <c r="K216" i="2" s="1"/>
  <c r="F215" i="2"/>
  <c r="G215" i="2" s="1"/>
  <c r="H215" i="2" s="1"/>
  <c r="K215" i="2" s="1"/>
  <c r="F194" i="2"/>
  <c r="G194" i="2" s="1"/>
  <c r="H194" i="2" s="1"/>
  <c r="K194" i="2" s="1"/>
  <c r="F193" i="2"/>
  <c r="G193" i="2" s="1"/>
  <c r="H193" i="2" s="1"/>
  <c r="K193" i="2" s="1"/>
  <c r="F163" i="2"/>
  <c r="G163" i="2" s="1"/>
  <c r="H163" i="2" s="1"/>
  <c r="K163" i="2" s="1"/>
  <c r="F162" i="2"/>
  <c r="G162" i="2" s="1"/>
  <c r="H162" i="2" s="1"/>
  <c r="K162" i="2" s="1"/>
  <c r="F135" i="2"/>
  <c r="G135" i="2" s="1"/>
  <c r="H135" i="2" s="1"/>
  <c r="K135" i="2" s="1"/>
  <c r="F134" i="2"/>
  <c r="G134" i="2" s="1"/>
  <c r="H134" i="2" s="1"/>
  <c r="K134" i="2" s="1"/>
  <c r="F107" i="2"/>
  <c r="G107" i="2" s="1"/>
  <c r="H107" i="2" s="1"/>
  <c r="K107" i="2" s="1"/>
  <c r="F106" i="2"/>
  <c r="G106" i="2" s="1"/>
  <c r="H106" i="2" s="1"/>
  <c r="K106" i="2" s="1"/>
  <c r="F77" i="2"/>
  <c r="G77" i="2" s="1"/>
  <c r="H77" i="2" s="1"/>
  <c r="K77" i="2" s="1"/>
  <c r="F76" i="2"/>
  <c r="G76" i="2" s="1"/>
  <c r="H76" i="2" s="1"/>
  <c r="K76" i="2" s="1"/>
  <c r="F49" i="2"/>
  <c r="G49" i="2" s="1"/>
  <c r="H49" i="2" s="1"/>
  <c r="K49" i="2" s="1"/>
  <c r="F48" i="2"/>
  <c r="G48" i="2" s="1"/>
  <c r="H48" i="2" s="1"/>
  <c r="K48" i="2" s="1"/>
  <c r="F21" i="2"/>
  <c r="G21" i="2" s="1"/>
  <c r="H21" i="2" s="1"/>
  <c r="K21" i="2" s="1"/>
  <c r="F20" i="2"/>
  <c r="G20" i="2" s="1"/>
  <c r="H20" i="2" s="1"/>
  <c r="K20" i="2" s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F410" i="2"/>
  <c r="G410" i="2" s="1"/>
  <c r="H410" i="2" s="1"/>
  <c r="K410" i="2" s="1"/>
  <c r="F382" i="2"/>
  <c r="G382" i="2" s="1"/>
  <c r="H382" i="2" s="1"/>
  <c r="K382" i="2" s="1"/>
  <c r="F354" i="2"/>
  <c r="G354" i="2" s="1"/>
  <c r="H354" i="2" s="1"/>
  <c r="K354" i="2" s="1"/>
  <c r="F323" i="2"/>
  <c r="G323" i="2" s="1"/>
  <c r="H323" i="2" s="1"/>
  <c r="K323" i="2" s="1"/>
  <c r="F295" i="2"/>
  <c r="G295" i="2" s="1"/>
  <c r="H295" i="2" s="1"/>
  <c r="F267" i="2"/>
  <c r="G267" i="2" s="1"/>
  <c r="H267" i="2" s="1"/>
  <c r="K267" i="2" s="1"/>
  <c r="F242" i="2"/>
  <c r="G242" i="2" s="1"/>
  <c r="H242" i="2" s="1"/>
  <c r="F214" i="2"/>
  <c r="G214" i="2" s="1"/>
  <c r="H214" i="2" s="1"/>
  <c r="K214" i="2" s="1"/>
  <c r="F192" i="2"/>
  <c r="G192" i="2" s="1"/>
  <c r="H192" i="2" s="1"/>
  <c r="F161" i="2"/>
  <c r="G161" i="2" s="1"/>
  <c r="H161" i="2" s="1"/>
  <c r="K161" i="2" s="1"/>
  <c r="F133" i="2"/>
  <c r="G133" i="2" s="1"/>
  <c r="H133" i="2" s="1"/>
  <c r="K133" i="2" s="1"/>
  <c r="F105" i="2"/>
  <c r="G105" i="2" s="1"/>
  <c r="H105" i="2" s="1"/>
  <c r="K105" i="2" s="1"/>
  <c r="F75" i="2"/>
  <c r="G75" i="2" s="1"/>
  <c r="H75" i="2" s="1"/>
  <c r="K75" i="2" s="1"/>
  <c r="F47" i="2"/>
  <c r="G47" i="2" s="1"/>
  <c r="H47" i="2" s="1"/>
  <c r="K47" i="2" s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F409" i="2"/>
  <c r="G409" i="2" s="1"/>
  <c r="H409" i="2" s="1"/>
  <c r="K409" i="2" s="1"/>
  <c r="F381" i="2"/>
  <c r="G381" i="2" s="1"/>
  <c r="H381" i="2" s="1"/>
  <c r="F353" i="2"/>
  <c r="G353" i="2" s="1"/>
  <c r="H353" i="2" s="1"/>
  <c r="K353" i="2" s="1"/>
  <c r="F322" i="2"/>
  <c r="G322" i="2" s="1"/>
  <c r="H322" i="2" s="1"/>
  <c r="K322" i="2" s="1"/>
  <c r="F294" i="2"/>
  <c r="G294" i="2" s="1"/>
  <c r="H294" i="2" s="1"/>
  <c r="K294" i="2" s="1"/>
  <c r="F266" i="2"/>
  <c r="G266" i="2" s="1"/>
  <c r="H266" i="2" s="1"/>
  <c r="K266" i="2" s="1"/>
  <c r="F241" i="2"/>
  <c r="G241" i="2" s="1"/>
  <c r="H241" i="2" s="1"/>
  <c r="K241" i="2" s="1"/>
  <c r="F213" i="2"/>
  <c r="G213" i="2" s="1"/>
  <c r="H213" i="2" s="1"/>
  <c r="F191" i="2"/>
  <c r="G191" i="2" s="1"/>
  <c r="H191" i="2" s="1"/>
  <c r="K191" i="2" s="1"/>
  <c r="F160" i="2"/>
  <c r="G160" i="2" s="1"/>
  <c r="H160" i="2" s="1"/>
  <c r="K160" i="2" s="1"/>
  <c r="F132" i="2"/>
  <c r="G132" i="2" s="1"/>
  <c r="H132" i="2" s="1"/>
  <c r="K132" i="2" s="1"/>
  <c r="F104" i="2"/>
  <c r="G104" i="2" s="1"/>
  <c r="H104" i="2" s="1"/>
  <c r="K104" i="2" s="1"/>
  <c r="F74" i="2"/>
  <c r="G74" i="2" s="1"/>
  <c r="H74" i="2" s="1"/>
  <c r="K74" i="2" s="1"/>
  <c r="F46" i="2"/>
  <c r="G46" i="2" s="1"/>
  <c r="H46" i="2" s="1"/>
  <c r="K46" i="2" s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F408" i="2"/>
  <c r="G408" i="2" s="1"/>
  <c r="H408" i="2" s="1"/>
  <c r="K408" i="2" s="1"/>
  <c r="F380" i="2"/>
  <c r="G380" i="2" s="1"/>
  <c r="H380" i="2" s="1"/>
  <c r="K380" i="2" s="1"/>
  <c r="F352" i="2"/>
  <c r="G352" i="2" s="1"/>
  <c r="H352" i="2" s="1"/>
  <c r="K352" i="2" s="1"/>
  <c r="F321" i="2"/>
  <c r="G321" i="2" s="1"/>
  <c r="H321" i="2" s="1"/>
  <c r="K321" i="2" s="1"/>
  <c r="F293" i="2"/>
  <c r="G293" i="2" s="1"/>
  <c r="H293" i="2" s="1"/>
  <c r="K293" i="2" s="1"/>
  <c r="F265" i="2"/>
  <c r="G265" i="2" s="1"/>
  <c r="H265" i="2" s="1"/>
  <c r="K265" i="2" s="1"/>
  <c r="F240" i="2"/>
  <c r="G240" i="2" s="1"/>
  <c r="H240" i="2" s="1"/>
  <c r="F212" i="2"/>
  <c r="G212" i="2" s="1"/>
  <c r="H212" i="2" s="1"/>
  <c r="F190" i="2"/>
  <c r="G190" i="2" s="1"/>
  <c r="H190" i="2" s="1"/>
  <c r="K190" i="2" s="1"/>
  <c r="F159" i="2"/>
  <c r="G159" i="2" s="1"/>
  <c r="H159" i="2" s="1"/>
  <c r="K159" i="2" s="1"/>
  <c r="F131" i="2"/>
  <c r="G131" i="2" s="1"/>
  <c r="H131" i="2" s="1"/>
  <c r="K131" i="2" s="1"/>
  <c r="F103" i="2"/>
  <c r="G103" i="2" s="1"/>
  <c r="H103" i="2" s="1"/>
  <c r="K103" i="2" s="1"/>
  <c r="F73" i="2"/>
  <c r="G73" i="2" s="1"/>
  <c r="H73" i="2" s="1"/>
  <c r="K73" i="2" s="1"/>
  <c r="F45" i="2"/>
  <c r="G45" i="2" s="1"/>
  <c r="H45" i="2" s="1"/>
  <c r="K45" i="2" s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F407" i="2"/>
  <c r="G407" i="2" s="1"/>
  <c r="H407" i="2" s="1"/>
  <c r="K407" i="2" s="1"/>
  <c r="F406" i="2"/>
  <c r="G406" i="2" s="1"/>
  <c r="H406" i="2" s="1"/>
  <c r="K406" i="2" s="1"/>
  <c r="F379" i="2"/>
  <c r="G379" i="2" s="1"/>
  <c r="H379" i="2" s="1"/>
  <c r="K379" i="2" s="1"/>
  <c r="F378" i="2"/>
  <c r="G378" i="2" s="1"/>
  <c r="H378" i="2" s="1"/>
  <c r="K378" i="2" s="1"/>
  <c r="F351" i="2"/>
  <c r="G351" i="2" s="1"/>
  <c r="H351" i="2" s="1"/>
  <c r="K351" i="2" s="1"/>
  <c r="F350" i="2"/>
  <c r="G350" i="2" s="1"/>
  <c r="H350" i="2" s="1"/>
  <c r="K350" i="2" s="1"/>
  <c r="F320" i="2"/>
  <c r="G320" i="2" s="1"/>
  <c r="H320" i="2" s="1"/>
  <c r="K320" i="2" s="1"/>
  <c r="F319" i="2"/>
  <c r="G319" i="2" s="1"/>
  <c r="H319" i="2" s="1"/>
  <c r="K319" i="2" s="1"/>
  <c r="F292" i="2"/>
  <c r="G292" i="2" s="1"/>
  <c r="H292" i="2" s="1"/>
  <c r="K292" i="2" s="1"/>
  <c r="F291" i="2"/>
  <c r="G291" i="2" s="1"/>
  <c r="F264" i="2"/>
  <c r="G264" i="2" s="1"/>
  <c r="H264" i="2" s="1"/>
  <c r="K264" i="2" s="1"/>
  <c r="F263" i="2"/>
  <c r="G263" i="2" s="1"/>
  <c r="H263" i="2" s="1"/>
  <c r="K263" i="2" s="1"/>
  <c r="F239" i="2"/>
  <c r="G239" i="2" s="1"/>
  <c r="H239" i="2" s="1"/>
  <c r="K239" i="2" s="1"/>
  <c r="F238" i="2"/>
  <c r="G238" i="2" s="1"/>
  <c r="H238" i="2" s="1"/>
  <c r="K238" i="2" s="1"/>
  <c r="F211" i="2"/>
  <c r="G211" i="2" s="1"/>
  <c r="H211" i="2" s="1"/>
  <c r="K211" i="2" s="1"/>
  <c r="F210" i="2"/>
  <c r="G210" i="2" s="1"/>
  <c r="H210" i="2" s="1"/>
  <c r="K210" i="2" s="1"/>
  <c r="F189" i="2"/>
  <c r="G189" i="2" s="1"/>
  <c r="H189" i="2" s="1"/>
  <c r="K189" i="2" s="1"/>
  <c r="F188" i="2"/>
  <c r="G188" i="2" s="1"/>
  <c r="H188" i="2" s="1"/>
  <c r="K188" i="2" s="1"/>
  <c r="F158" i="2"/>
  <c r="G158" i="2" s="1"/>
  <c r="H158" i="2" s="1"/>
  <c r="K158" i="2" s="1"/>
  <c r="F157" i="2"/>
  <c r="G157" i="2" s="1"/>
  <c r="H157" i="2" s="1"/>
  <c r="K157" i="2" s="1"/>
  <c r="F130" i="2"/>
  <c r="G130" i="2" s="1"/>
  <c r="H130" i="2" s="1"/>
  <c r="K130" i="2" s="1"/>
  <c r="F129" i="2"/>
  <c r="G129" i="2" s="1"/>
  <c r="H129" i="2" s="1"/>
  <c r="K129" i="2" s="1"/>
  <c r="F102" i="2"/>
  <c r="G102" i="2" s="1"/>
  <c r="H102" i="2" s="1"/>
  <c r="K102" i="2" s="1"/>
  <c r="F101" i="2"/>
  <c r="G101" i="2" s="1"/>
  <c r="H101" i="2" s="1"/>
  <c r="K101" i="2" s="1"/>
  <c r="F72" i="2"/>
  <c r="G72" i="2" s="1"/>
  <c r="H72" i="2" s="1"/>
  <c r="K72" i="2" s="1"/>
  <c r="F71" i="2"/>
  <c r="G71" i="2" s="1"/>
  <c r="H71" i="2" s="1"/>
  <c r="K71" i="2" s="1"/>
  <c r="F44" i="2"/>
  <c r="G44" i="2" s="1"/>
  <c r="H44" i="2" s="1"/>
  <c r="K44" i="2" s="1"/>
  <c r="F43" i="2"/>
  <c r="G43" i="2" s="1"/>
  <c r="H43" i="2" s="1"/>
  <c r="K43" i="2" s="1"/>
  <c r="Q33" i="1"/>
  <c r="Q45" i="1"/>
  <c r="Q44" i="1"/>
  <c r="Q43" i="1"/>
  <c r="Q42" i="1"/>
  <c r="Q41" i="1"/>
  <c r="Q40" i="1"/>
  <c r="Q39" i="1"/>
  <c r="Q38" i="1"/>
  <c r="Q37" i="1"/>
  <c r="Q36" i="1"/>
  <c r="Q35" i="1"/>
  <c r="Q34" i="1"/>
  <c r="Q32" i="1"/>
  <c r="Q31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F405" i="2"/>
  <c r="G405" i="2" s="1"/>
  <c r="H405" i="2" s="1"/>
  <c r="K405" i="2" s="1"/>
  <c r="F377" i="2"/>
  <c r="G377" i="2" s="1"/>
  <c r="H377" i="2" s="1"/>
  <c r="K377" i="2" s="1"/>
  <c r="F349" i="2"/>
  <c r="G349" i="2" s="1"/>
  <c r="H349" i="2" s="1"/>
  <c r="K349" i="2" s="1"/>
  <c r="F318" i="2"/>
  <c r="G318" i="2" s="1"/>
  <c r="H318" i="2" s="1"/>
  <c r="K318" i="2" s="1"/>
  <c r="F290" i="2"/>
  <c r="G290" i="2" s="1"/>
  <c r="H290" i="2" s="1"/>
  <c r="K290" i="2" s="1"/>
  <c r="F262" i="2"/>
  <c r="G262" i="2" s="1"/>
  <c r="H262" i="2" s="1"/>
  <c r="K262" i="2" s="1"/>
  <c r="F237" i="2"/>
  <c r="G237" i="2" s="1"/>
  <c r="H237" i="2" s="1"/>
  <c r="K237" i="2" s="1"/>
  <c r="F209" i="2"/>
  <c r="G209" i="2" s="1"/>
  <c r="H209" i="2" s="1"/>
  <c r="K209" i="2" s="1"/>
  <c r="F208" i="2"/>
  <c r="G208" i="2" s="1"/>
  <c r="H208" i="2" s="1"/>
  <c r="K208" i="2" s="1"/>
  <c r="F187" i="2"/>
  <c r="G187" i="2" s="1"/>
  <c r="H187" i="2" s="1"/>
  <c r="K187" i="2" s="1"/>
  <c r="F156" i="2"/>
  <c r="G156" i="2" s="1"/>
  <c r="H156" i="2" s="1"/>
  <c r="K156" i="2" s="1"/>
  <c r="F128" i="2"/>
  <c r="G128" i="2" s="1"/>
  <c r="H128" i="2" s="1"/>
  <c r="K128" i="2" s="1"/>
  <c r="F100" i="2"/>
  <c r="G100" i="2" s="1"/>
  <c r="H100" i="2" s="1"/>
  <c r="K100" i="2" s="1"/>
  <c r="F70" i="2"/>
  <c r="G70" i="2" s="1"/>
  <c r="F42" i="2"/>
  <c r="G42" i="2" s="1"/>
  <c r="H42" i="2" s="1"/>
  <c r="K42" i="2" s="1"/>
  <c r="F14" i="2"/>
  <c r="G14" i="2" s="1"/>
  <c r="H14" i="2" s="1"/>
  <c r="K14" i="2" s="1"/>
  <c r="F13" i="2"/>
  <c r="G13" i="2" s="1"/>
  <c r="H13" i="2" s="1"/>
  <c r="K13" i="2" s="1"/>
  <c r="F404" i="2"/>
  <c r="G404" i="2" s="1"/>
  <c r="H404" i="2" s="1"/>
  <c r="K404" i="2" s="1"/>
  <c r="F376" i="2"/>
  <c r="G376" i="2" s="1"/>
  <c r="H376" i="2" s="1"/>
  <c r="K376" i="2" s="1"/>
  <c r="F348" i="2"/>
  <c r="G348" i="2" s="1"/>
  <c r="H348" i="2" s="1"/>
  <c r="K348" i="2" s="1"/>
  <c r="F317" i="2"/>
  <c r="G317" i="2" s="1"/>
  <c r="H317" i="2" s="1"/>
  <c r="K317" i="2" s="1"/>
  <c r="F289" i="2"/>
  <c r="G289" i="2" s="1"/>
  <c r="H289" i="2" s="1"/>
  <c r="K289" i="2" s="1"/>
  <c r="F261" i="2"/>
  <c r="G261" i="2" s="1"/>
  <c r="H261" i="2" s="1"/>
  <c r="K261" i="2" s="1"/>
  <c r="F236" i="2"/>
  <c r="G236" i="2" s="1"/>
  <c r="H236" i="2" s="1"/>
  <c r="K236" i="2" s="1"/>
  <c r="F186" i="2"/>
  <c r="G186" i="2" s="1"/>
  <c r="H186" i="2" s="1"/>
  <c r="K186" i="2" s="1"/>
  <c r="F185" i="2"/>
  <c r="G185" i="2" s="1"/>
  <c r="H185" i="2" s="1"/>
  <c r="K185" i="2" s="1"/>
  <c r="F155" i="2"/>
  <c r="G155" i="2" s="1"/>
  <c r="H155" i="2" s="1"/>
  <c r="K155" i="2" s="1"/>
  <c r="F127" i="2"/>
  <c r="G127" i="2" s="1"/>
  <c r="H127" i="2" s="1"/>
  <c r="K127" i="2" s="1"/>
  <c r="F99" i="2"/>
  <c r="G99" i="2" s="1"/>
  <c r="H99" i="2" s="1"/>
  <c r="K99" i="2" s="1"/>
  <c r="F69" i="2"/>
  <c r="G69" i="2" s="1"/>
  <c r="H69" i="2" s="1"/>
  <c r="K69" i="2" s="1"/>
  <c r="F41" i="2"/>
  <c r="G41" i="2" s="1"/>
  <c r="H41" i="2" s="1"/>
  <c r="K41" i="2" s="1"/>
  <c r="N44" i="1"/>
  <c r="N45" i="1"/>
  <c r="N43" i="1"/>
  <c r="N42" i="1"/>
  <c r="N41" i="1"/>
  <c r="N40" i="1"/>
  <c r="N39" i="1"/>
  <c r="N38" i="1"/>
  <c r="N37" i="1"/>
  <c r="N36" i="1"/>
  <c r="N35" i="1"/>
  <c r="N34" i="1"/>
  <c r="N32" i="1"/>
  <c r="N33" i="1"/>
  <c r="N31" i="1"/>
  <c r="F403" i="2"/>
  <c r="G403" i="2" s="1"/>
  <c r="H403" i="2" s="1"/>
  <c r="K403" i="2" s="1"/>
  <c r="F375" i="2"/>
  <c r="G375" i="2" s="1"/>
  <c r="H375" i="2" s="1"/>
  <c r="K375" i="2" s="1"/>
  <c r="F347" i="2"/>
  <c r="G347" i="2" s="1"/>
  <c r="H347" i="2" s="1"/>
  <c r="K347" i="2" s="1"/>
  <c r="F316" i="2"/>
  <c r="G316" i="2" s="1"/>
  <c r="H316" i="2" s="1"/>
  <c r="K316" i="2" s="1"/>
  <c r="F288" i="2"/>
  <c r="G288" i="2" s="1"/>
  <c r="H288" i="2" s="1"/>
  <c r="K288" i="2" s="1"/>
  <c r="F260" i="2"/>
  <c r="G260" i="2" s="1"/>
  <c r="H260" i="2" s="1"/>
  <c r="K260" i="2" s="1"/>
  <c r="F235" i="2"/>
  <c r="G235" i="2" s="1"/>
  <c r="H235" i="2" s="1"/>
  <c r="K235" i="2" s="1"/>
  <c r="F207" i="2"/>
  <c r="G207" i="2" s="1"/>
  <c r="H207" i="2" s="1"/>
  <c r="K207" i="2" s="1"/>
  <c r="F154" i="2"/>
  <c r="G154" i="2" s="1"/>
  <c r="H154" i="2" s="1"/>
  <c r="K154" i="2" s="1"/>
  <c r="F126" i="2"/>
  <c r="G126" i="2" s="1"/>
  <c r="H126" i="2" s="1"/>
  <c r="K126" i="2" s="1"/>
  <c r="F98" i="2"/>
  <c r="G98" i="2" s="1"/>
  <c r="H98" i="2" s="1"/>
  <c r="K98" i="2" s="1"/>
  <c r="F68" i="2"/>
  <c r="G68" i="2" s="1"/>
  <c r="H68" i="2" s="1"/>
  <c r="K68" i="2" s="1"/>
  <c r="F40" i="2"/>
  <c r="G40" i="2" s="1"/>
  <c r="H40" i="2" s="1"/>
  <c r="K40" i="2" s="1"/>
  <c r="F39" i="2"/>
  <c r="G39" i="2" s="1"/>
  <c r="H39" i="2" s="1"/>
  <c r="K39" i="2" s="1"/>
  <c r="F402" i="2"/>
  <c r="G402" i="2" s="1"/>
  <c r="H402" i="2" s="1"/>
  <c r="K402" i="2" s="1"/>
  <c r="F374" i="2"/>
  <c r="G374" i="2" s="1"/>
  <c r="H374" i="2" s="1"/>
  <c r="K374" i="2" s="1"/>
  <c r="F346" i="2"/>
  <c r="G346" i="2" s="1"/>
  <c r="H346" i="2" s="1"/>
  <c r="K346" i="2" s="1"/>
  <c r="F315" i="2"/>
  <c r="G315" i="2" s="1"/>
  <c r="H315" i="2" s="1"/>
  <c r="K315" i="2" s="1"/>
  <c r="F287" i="2"/>
  <c r="G287" i="2" s="1"/>
  <c r="H287" i="2" s="1"/>
  <c r="K287" i="2" s="1"/>
  <c r="F259" i="2"/>
  <c r="G259" i="2" s="1"/>
  <c r="H259" i="2" s="1"/>
  <c r="K259" i="2" s="1"/>
  <c r="F234" i="2"/>
  <c r="G234" i="2" s="1"/>
  <c r="H234" i="2" s="1"/>
  <c r="K234" i="2" s="1"/>
  <c r="F206" i="2"/>
  <c r="G206" i="2" s="1"/>
  <c r="H206" i="2" s="1"/>
  <c r="K206" i="2" s="1"/>
  <c r="F184" i="2"/>
  <c r="G184" i="2" s="1"/>
  <c r="H184" i="2" s="1"/>
  <c r="K184" i="2" s="1"/>
  <c r="F153" i="2"/>
  <c r="G153" i="2" s="1"/>
  <c r="H153" i="2" s="1"/>
  <c r="K153" i="2" s="1"/>
  <c r="F125" i="2"/>
  <c r="G125" i="2" s="1"/>
  <c r="H125" i="2" s="1"/>
  <c r="K125" i="2" s="1"/>
  <c r="F97" i="2"/>
  <c r="G97" i="2" s="1"/>
  <c r="H97" i="2" s="1"/>
  <c r="K97" i="2" s="1"/>
  <c r="F67" i="2"/>
  <c r="G67" i="2" s="1"/>
  <c r="H67" i="2" s="1"/>
  <c r="K67" i="2" s="1"/>
  <c r="F38" i="2"/>
  <c r="G38" i="2" s="1"/>
  <c r="H38" i="2" s="1"/>
  <c r="K38" i="2" s="1"/>
  <c r="F345" i="2"/>
  <c r="G345" i="2" s="1"/>
  <c r="H345" i="2" s="1"/>
  <c r="K345" i="2" s="1"/>
  <c r="F344" i="2"/>
  <c r="G344" i="2" s="1"/>
  <c r="H344" i="2" s="1"/>
  <c r="K344" i="2" s="1"/>
  <c r="F314" i="2"/>
  <c r="G314" i="2" s="1"/>
  <c r="H314" i="2" s="1"/>
  <c r="K314" i="2" s="1"/>
  <c r="F312" i="2"/>
  <c r="G312" i="2" s="1"/>
  <c r="H312" i="2" s="1"/>
  <c r="K312" i="2" s="1"/>
  <c r="F286" i="2"/>
  <c r="G286" i="2" s="1"/>
  <c r="H286" i="2" s="1"/>
  <c r="K286" i="2" s="1"/>
  <c r="F285" i="2"/>
  <c r="G285" i="2" s="1"/>
  <c r="H285" i="2" s="1"/>
  <c r="K285" i="2" s="1"/>
  <c r="F258" i="2"/>
  <c r="G258" i="2" s="1"/>
  <c r="H258" i="2" s="1"/>
  <c r="K258" i="2" s="1"/>
  <c r="F257" i="2"/>
  <c r="G257" i="2" s="1"/>
  <c r="H257" i="2" s="1"/>
  <c r="K257" i="2" s="1"/>
  <c r="F233" i="2"/>
  <c r="G233" i="2" s="1"/>
  <c r="H233" i="2" s="1"/>
  <c r="K233" i="2" s="1"/>
  <c r="F232" i="2"/>
  <c r="G232" i="2" s="1"/>
  <c r="H232" i="2" s="1"/>
  <c r="K232" i="2" s="1"/>
  <c r="F205" i="2"/>
  <c r="G205" i="2" s="1"/>
  <c r="H205" i="2" s="1"/>
  <c r="K205" i="2" s="1"/>
  <c r="F204" i="2"/>
  <c r="G204" i="2" s="1"/>
  <c r="H204" i="2" s="1"/>
  <c r="K204" i="2" s="1"/>
  <c r="F183" i="2"/>
  <c r="G183" i="2" s="1"/>
  <c r="H183" i="2" s="1"/>
  <c r="K183" i="2" s="1"/>
  <c r="F180" i="2"/>
  <c r="G180" i="2" s="1"/>
  <c r="H180" i="2" s="1"/>
  <c r="K180" i="2" s="1"/>
  <c r="F182" i="2"/>
  <c r="G182" i="2" s="1"/>
  <c r="H182" i="2" s="1"/>
  <c r="K182" i="2" s="1"/>
  <c r="F152" i="2"/>
  <c r="G152" i="2" s="1"/>
  <c r="H152" i="2" s="1"/>
  <c r="K152" i="2" s="1"/>
  <c r="F151" i="2"/>
  <c r="G151" i="2" s="1"/>
  <c r="H151" i="2" s="1"/>
  <c r="K151" i="2" s="1"/>
  <c r="F123" i="2"/>
  <c r="G123" i="2" s="1"/>
  <c r="H123" i="2" s="1"/>
  <c r="K123" i="2" s="1"/>
  <c r="F96" i="2"/>
  <c r="G96" i="2" s="1"/>
  <c r="H96" i="2" s="1"/>
  <c r="K96" i="2" s="1"/>
  <c r="F95" i="2"/>
  <c r="G95" i="2" s="1"/>
  <c r="H95" i="2" s="1"/>
  <c r="K95" i="2" s="1"/>
  <c r="F65" i="2"/>
  <c r="G65" i="2" s="1"/>
  <c r="H65" i="2" s="1"/>
  <c r="K65" i="2" s="1"/>
  <c r="F66" i="2"/>
  <c r="G66" i="2" s="1"/>
  <c r="H66" i="2" s="1"/>
  <c r="K66" i="2" s="1"/>
  <c r="F37" i="2"/>
  <c r="G37" i="2" s="1"/>
  <c r="H37" i="2" s="1"/>
  <c r="K37" i="2" s="1"/>
  <c r="M45" i="1"/>
  <c r="L45" i="1"/>
  <c r="K45" i="1"/>
  <c r="M44" i="1"/>
  <c r="L44" i="1"/>
  <c r="K44" i="1"/>
  <c r="M43" i="1"/>
  <c r="L43" i="1"/>
  <c r="K43" i="1"/>
  <c r="M42" i="1"/>
  <c r="L42" i="1"/>
  <c r="K42" i="1"/>
  <c r="M41" i="1"/>
  <c r="L41" i="1"/>
  <c r="K41" i="1"/>
  <c r="M40" i="1"/>
  <c r="L40" i="1"/>
  <c r="K40" i="1"/>
  <c r="K39" i="1"/>
  <c r="M39" i="1"/>
  <c r="L39" i="1"/>
  <c r="M38" i="1"/>
  <c r="L38" i="1"/>
  <c r="K38" i="1"/>
  <c r="K37" i="1"/>
  <c r="M37" i="1"/>
  <c r="L37" i="1"/>
  <c r="M36" i="1"/>
  <c r="L36" i="1"/>
  <c r="K36" i="1"/>
  <c r="M35" i="1"/>
  <c r="L35" i="1"/>
  <c r="K35" i="1"/>
  <c r="K34" i="1"/>
  <c r="M34" i="1"/>
  <c r="L34" i="1"/>
  <c r="M33" i="1"/>
  <c r="L33" i="1"/>
  <c r="K33" i="1"/>
  <c r="M32" i="1"/>
  <c r="L32" i="1"/>
  <c r="K32" i="1"/>
  <c r="M31" i="1"/>
  <c r="L31" i="1"/>
  <c r="K31" i="1"/>
  <c r="F401" i="2"/>
  <c r="G401" i="2" s="1"/>
  <c r="F400" i="2"/>
  <c r="G400" i="2" s="1"/>
  <c r="H400" i="2" s="1"/>
  <c r="K400" i="2" s="1"/>
  <c r="F399" i="2"/>
  <c r="G399" i="2" s="1"/>
  <c r="H399" i="2" s="1"/>
  <c r="K399" i="2" s="1"/>
  <c r="F398" i="2"/>
  <c r="G398" i="2" s="1"/>
  <c r="H398" i="2" s="1"/>
  <c r="K398" i="2" s="1"/>
  <c r="F397" i="2"/>
  <c r="G397" i="2" s="1"/>
  <c r="H397" i="2" s="1"/>
  <c r="K397" i="2" s="1"/>
  <c r="F396" i="2"/>
  <c r="G396" i="2" s="1"/>
  <c r="H396" i="2" s="1"/>
  <c r="K396" i="2" s="1"/>
  <c r="F395" i="2"/>
  <c r="G395" i="2" s="1"/>
  <c r="H395" i="2" s="1"/>
  <c r="K395" i="2" s="1"/>
  <c r="F394" i="2"/>
  <c r="G394" i="2" s="1"/>
  <c r="H394" i="2" s="1"/>
  <c r="K394" i="2" s="1"/>
  <c r="F373" i="2"/>
  <c r="G373" i="2" s="1"/>
  <c r="H373" i="2" s="1"/>
  <c r="K373" i="2" s="1"/>
  <c r="F372" i="2"/>
  <c r="G372" i="2" s="1"/>
  <c r="H372" i="2" s="1"/>
  <c r="K372" i="2" s="1"/>
  <c r="F371" i="2"/>
  <c r="G371" i="2" s="1"/>
  <c r="H371" i="2" s="1"/>
  <c r="K371" i="2" s="1"/>
  <c r="F370" i="2"/>
  <c r="G370" i="2" s="1"/>
  <c r="H370" i="2" s="1"/>
  <c r="K370" i="2" s="1"/>
  <c r="F369" i="2"/>
  <c r="G369" i="2" s="1"/>
  <c r="H369" i="2" s="1"/>
  <c r="K369" i="2" s="1"/>
  <c r="F368" i="2"/>
  <c r="G368" i="2" s="1"/>
  <c r="H368" i="2" s="1"/>
  <c r="K368" i="2" s="1"/>
  <c r="F367" i="2"/>
  <c r="G367" i="2" s="1"/>
  <c r="H367" i="2" s="1"/>
  <c r="K367" i="2" s="1"/>
  <c r="F366" i="2"/>
  <c r="G366" i="2" s="1"/>
  <c r="H366" i="2" s="1"/>
  <c r="K366" i="2" s="1"/>
  <c r="F343" i="2"/>
  <c r="G343" i="2" s="1"/>
  <c r="H343" i="2" s="1"/>
  <c r="K343" i="2" s="1"/>
  <c r="F342" i="2"/>
  <c r="G342" i="2" s="1"/>
  <c r="H342" i="2" s="1"/>
  <c r="K342" i="2" s="1"/>
  <c r="F341" i="2"/>
  <c r="G341" i="2" s="1"/>
  <c r="H341" i="2" s="1"/>
  <c r="K341" i="2" s="1"/>
  <c r="F340" i="2"/>
  <c r="G340" i="2" s="1"/>
  <c r="H340" i="2" s="1"/>
  <c r="K340" i="2" s="1"/>
  <c r="F339" i="2"/>
  <c r="G339" i="2" s="1"/>
  <c r="H339" i="2" s="1"/>
  <c r="K339" i="2" s="1"/>
  <c r="F338" i="2"/>
  <c r="G338" i="2" s="1"/>
  <c r="H338" i="2" s="1"/>
  <c r="K338" i="2" s="1"/>
  <c r="F308" i="2"/>
  <c r="G308" i="2" s="1"/>
  <c r="H308" i="2" s="1"/>
  <c r="K308" i="2" s="1"/>
  <c r="F313" i="2"/>
  <c r="G313" i="2" s="1"/>
  <c r="H313" i="2" s="1"/>
  <c r="K313" i="2" s="1"/>
  <c r="F311" i="2"/>
  <c r="G311" i="2" s="1"/>
  <c r="H311" i="2" s="1"/>
  <c r="K311" i="2" s="1"/>
  <c r="F310" i="2"/>
  <c r="G310" i="2" s="1"/>
  <c r="H310" i="2" s="1"/>
  <c r="K310" i="2" s="1"/>
  <c r="F309" i="2"/>
  <c r="G309" i="2" s="1"/>
  <c r="H309" i="2" s="1"/>
  <c r="K309" i="2" s="1"/>
  <c r="F307" i="2"/>
  <c r="G307" i="2" s="1"/>
  <c r="H307" i="2" s="1"/>
  <c r="K307" i="2" s="1"/>
  <c r="F284" i="2"/>
  <c r="G284" i="2" s="1"/>
  <c r="H284" i="2" s="1"/>
  <c r="K284" i="2" s="1"/>
  <c r="F283" i="2"/>
  <c r="G283" i="2" s="1"/>
  <c r="H283" i="2" s="1"/>
  <c r="K283" i="2" s="1"/>
  <c r="F282" i="2"/>
  <c r="G282" i="2" s="1"/>
  <c r="H282" i="2" s="1"/>
  <c r="K282" i="2" s="1"/>
  <c r="F281" i="2"/>
  <c r="G281" i="2" s="1"/>
  <c r="H281" i="2" s="1"/>
  <c r="K281" i="2" s="1"/>
  <c r="F280" i="2"/>
  <c r="G280" i="2" s="1"/>
  <c r="H280" i="2" s="1"/>
  <c r="K280" i="2" s="1"/>
  <c r="F279" i="2"/>
  <c r="G279" i="2" s="1"/>
  <c r="H279" i="2" s="1"/>
  <c r="K279" i="2" s="1"/>
  <c r="F256" i="2"/>
  <c r="G256" i="2" s="1"/>
  <c r="H256" i="2" s="1"/>
  <c r="K256" i="2" s="1"/>
  <c r="F255" i="2"/>
  <c r="G255" i="2" s="1"/>
  <c r="H255" i="2" s="1"/>
  <c r="K255" i="2" s="1"/>
  <c r="F254" i="2"/>
  <c r="G254" i="2" s="1"/>
  <c r="H254" i="2" s="1"/>
  <c r="K254" i="2" s="1"/>
  <c r="F253" i="2"/>
  <c r="G253" i="2" s="1"/>
  <c r="H253" i="2" s="1"/>
  <c r="K253" i="2" s="1"/>
  <c r="F252" i="2"/>
  <c r="G252" i="2" s="1"/>
  <c r="H252" i="2" s="1"/>
  <c r="K252" i="2" s="1"/>
  <c r="F251" i="2"/>
  <c r="G251" i="2" s="1"/>
  <c r="H251" i="2" s="1"/>
  <c r="K251" i="2" s="1"/>
  <c r="F230" i="2"/>
  <c r="G230" i="2" s="1"/>
  <c r="H230" i="2" s="1"/>
  <c r="K230" i="2" s="1"/>
  <c r="F231" i="2"/>
  <c r="G231" i="2" s="1"/>
  <c r="H231" i="2" s="1"/>
  <c r="K231" i="2" s="1"/>
  <c r="F229" i="2"/>
  <c r="G229" i="2" s="1"/>
  <c r="H229" i="2" s="1"/>
  <c r="K229" i="2" s="1"/>
  <c r="F228" i="2"/>
  <c r="G228" i="2" s="1"/>
  <c r="H228" i="2" s="1"/>
  <c r="K228" i="2" s="1"/>
  <c r="F227" i="2"/>
  <c r="G227" i="2" s="1"/>
  <c r="H227" i="2" s="1"/>
  <c r="K227" i="2" s="1"/>
  <c r="F226" i="2"/>
  <c r="G226" i="2" s="1"/>
  <c r="H226" i="2" s="1"/>
  <c r="K226" i="2" s="1"/>
  <c r="F202" i="2"/>
  <c r="G202" i="2" s="1"/>
  <c r="H202" i="2" s="1"/>
  <c r="K202" i="2" s="1"/>
  <c r="F203" i="2"/>
  <c r="G203" i="2" s="1"/>
  <c r="H203" i="2" s="1"/>
  <c r="K203" i="2" s="1"/>
  <c r="F201" i="2"/>
  <c r="G201" i="2" s="1"/>
  <c r="H201" i="2" s="1"/>
  <c r="K201" i="2" s="1"/>
  <c r="F200" i="2"/>
  <c r="G200" i="2" s="1"/>
  <c r="H200" i="2" s="1"/>
  <c r="K200" i="2" s="1"/>
  <c r="F199" i="2"/>
  <c r="G199" i="2" s="1"/>
  <c r="H199" i="2" s="1"/>
  <c r="K199" i="2" s="1"/>
  <c r="F198" i="2"/>
  <c r="G198" i="2" s="1"/>
  <c r="H198" i="2" s="1"/>
  <c r="K198" i="2" s="1"/>
  <c r="F181" i="2"/>
  <c r="G181" i="2" s="1"/>
  <c r="H181" i="2" s="1"/>
  <c r="K181" i="2" s="1"/>
  <c r="F179" i="2"/>
  <c r="G179" i="2" s="1"/>
  <c r="H179" i="2" s="1"/>
  <c r="K179" i="2" s="1"/>
  <c r="F178" i="2"/>
  <c r="G178" i="2" s="1"/>
  <c r="H178" i="2" s="1"/>
  <c r="K178" i="2" s="1"/>
  <c r="F177" i="2"/>
  <c r="G177" i="2" s="1"/>
  <c r="H177" i="2" s="1"/>
  <c r="K177" i="2" s="1"/>
  <c r="F176" i="2"/>
  <c r="G176" i="2" s="1"/>
  <c r="H176" i="2" s="1"/>
  <c r="K176" i="2" s="1"/>
  <c r="F150" i="2"/>
  <c r="G150" i="2" s="1"/>
  <c r="H150" i="2" s="1"/>
  <c r="K150" i="2" s="1"/>
  <c r="F149" i="2"/>
  <c r="G149" i="2" s="1"/>
  <c r="H149" i="2" s="1"/>
  <c r="K149" i="2" s="1"/>
  <c r="F148" i="2"/>
  <c r="G148" i="2" s="1"/>
  <c r="H148" i="2" s="1"/>
  <c r="K148" i="2" s="1"/>
  <c r="F147" i="2"/>
  <c r="G147" i="2" s="1"/>
  <c r="H147" i="2" s="1"/>
  <c r="K147" i="2" s="1"/>
  <c r="F146" i="2"/>
  <c r="G146" i="2" s="1"/>
  <c r="H146" i="2" s="1"/>
  <c r="K146" i="2" s="1"/>
  <c r="F145" i="2"/>
  <c r="G145" i="2" s="1"/>
  <c r="H145" i="2" s="1"/>
  <c r="K145" i="2" s="1"/>
  <c r="F124" i="2"/>
  <c r="G124" i="2" s="1"/>
  <c r="H124" i="2" s="1"/>
  <c r="K124" i="2" s="1"/>
  <c r="F122" i="2"/>
  <c r="G122" i="2" s="1"/>
  <c r="H122" i="2" s="1"/>
  <c r="K122" i="2" s="1"/>
  <c r="F121" i="2"/>
  <c r="G121" i="2" s="1"/>
  <c r="H121" i="2" s="1"/>
  <c r="K121" i="2" s="1"/>
  <c r="F120" i="2"/>
  <c r="G120" i="2" s="1"/>
  <c r="H120" i="2" s="1"/>
  <c r="K120" i="2" s="1"/>
  <c r="F119" i="2"/>
  <c r="G119" i="2" s="1"/>
  <c r="H119" i="2" s="1"/>
  <c r="K119" i="2" s="1"/>
  <c r="F118" i="2"/>
  <c r="G118" i="2" s="1"/>
  <c r="H118" i="2" s="1"/>
  <c r="K118" i="2" s="1"/>
  <c r="F117" i="2"/>
  <c r="G117" i="2" s="1"/>
  <c r="H117" i="2" s="1"/>
  <c r="K117" i="2" s="1"/>
  <c r="F94" i="2"/>
  <c r="G94" i="2" s="1"/>
  <c r="H94" i="2" s="1"/>
  <c r="K94" i="2" s="1"/>
  <c r="F93" i="2"/>
  <c r="G93" i="2" s="1"/>
  <c r="H93" i="2" s="1"/>
  <c r="K93" i="2" s="1"/>
  <c r="F92" i="2"/>
  <c r="G92" i="2" s="1"/>
  <c r="H92" i="2" s="1"/>
  <c r="K92" i="2" s="1"/>
  <c r="F91" i="2"/>
  <c r="G91" i="2" s="1"/>
  <c r="H91" i="2" s="1"/>
  <c r="K91" i="2" s="1"/>
  <c r="F90" i="2"/>
  <c r="G90" i="2" s="1"/>
  <c r="H90" i="2" s="1"/>
  <c r="K90" i="2" s="1"/>
  <c r="F89" i="2"/>
  <c r="G89" i="2" s="1"/>
  <c r="H89" i="2" s="1"/>
  <c r="K89" i="2" s="1"/>
  <c r="F5" i="2"/>
  <c r="G5" i="2" s="1"/>
  <c r="H5" i="2" s="1"/>
  <c r="K5" i="2" s="1"/>
  <c r="F4" i="2"/>
  <c r="G4" i="2" s="1"/>
  <c r="H4" i="2" s="1"/>
  <c r="K4" i="2" s="1"/>
  <c r="F3" i="2"/>
  <c r="G3" i="2" s="1"/>
  <c r="H3" i="2" s="1"/>
  <c r="K3" i="2" s="1"/>
  <c r="F35" i="2"/>
  <c r="G35" i="2" s="1"/>
  <c r="H35" i="2" s="1"/>
  <c r="K35" i="2" s="1"/>
  <c r="F34" i="2"/>
  <c r="G34" i="2" s="1"/>
  <c r="H34" i="2" s="1"/>
  <c r="K34" i="2" s="1"/>
  <c r="F33" i="2"/>
  <c r="G33" i="2" s="1"/>
  <c r="H33" i="2" s="1"/>
  <c r="K33" i="2" s="1"/>
  <c r="F32" i="2"/>
  <c r="G32" i="2" s="1"/>
  <c r="H32" i="2" s="1"/>
  <c r="K32" i="2" s="1"/>
  <c r="F31" i="2"/>
  <c r="G31" i="2" s="1"/>
  <c r="H31" i="2" s="1"/>
  <c r="K31" i="2" s="1"/>
  <c r="F64" i="2"/>
  <c r="G64" i="2" s="1"/>
  <c r="H64" i="2" s="1"/>
  <c r="K64" i="2" s="1"/>
  <c r="F63" i="2"/>
  <c r="G63" i="2" s="1"/>
  <c r="H63" i="2" s="1"/>
  <c r="K63" i="2" s="1"/>
  <c r="F62" i="2"/>
  <c r="G62" i="2" s="1"/>
  <c r="H62" i="2" s="1"/>
  <c r="K62" i="2" s="1"/>
  <c r="F61" i="2"/>
  <c r="G61" i="2" s="1"/>
  <c r="H61" i="2" s="1"/>
  <c r="K61" i="2" s="1"/>
  <c r="F59" i="2"/>
  <c r="G59" i="2" s="1"/>
  <c r="H59" i="2" s="1"/>
  <c r="K59" i="2" s="1"/>
  <c r="F60" i="2"/>
  <c r="G60" i="2" s="1"/>
  <c r="H60" i="2" s="1"/>
  <c r="K60" i="2" s="1"/>
  <c r="F36" i="2"/>
  <c r="G36" i="2" s="1"/>
  <c r="H36" i="2" s="1"/>
  <c r="K36" i="2" s="1"/>
  <c r="E31" i="1"/>
  <c r="G393" i="2"/>
  <c r="H393" i="2" s="1"/>
  <c r="K393" i="2" s="1"/>
  <c r="G365" i="2"/>
  <c r="H365" i="2" s="1"/>
  <c r="K365" i="2" s="1"/>
  <c r="G337" i="2"/>
  <c r="H337" i="2" s="1"/>
  <c r="K337" i="2" s="1"/>
  <c r="G306" i="2"/>
  <c r="H306" i="2" s="1"/>
  <c r="K306" i="2" s="1"/>
  <c r="G278" i="2"/>
  <c r="H278" i="2" s="1"/>
  <c r="K278" i="2" s="1"/>
  <c r="G250" i="2"/>
  <c r="H250" i="2" s="1"/>
  <c r="K250" i="2" s="1"/>
  <c r="G225" i="2"/>
  <c r="H225" i="2" s="1"/>
  <c r="K225" i="2" s="1"/>
  <c r="G197" i="2"/>
  <c r="H197" i="2" s="1"/>
  <c r="K197" i="2" s="1"/>
  <c r="G175" i="2"/>
  <c r="H175" i="2" s="1"/>
  <c r="K175" i="2" s="1"/>
  <c r="G144" i="2"/>
  <c r="H144" i="2" s="1"/>
  <c r="K144" i="2" s="1"/>
  <c r="G116" i="2"/>
  <c r="H116" i="2" s="1"/>
  <c r="K116" i="2" s="1"/>
  <c r="G88" i="2"/>
  <c r="H88" i="2" s="1"/>
  <c r="K88" i="2" s="1"/>
  <c r="G30" i="2"/>
  <c r="H30" i="2" s="1"/>
  <c r="K30" i="2" s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G2" i="2"/>
  <c r="F6" i="2"/>
  <c r="G6" i="2" s="1"/>
  <c r="H6" i="2" s="1"/>
  <c r="K6" i="2" s="1"/>
  <c r="F7" i="2"/>
  <c r="G7" i="2" s="1"/>
  <c r="H7" i="2" s="1"/>
  <c r="K7" i="2" s="1"/>
  <c r="F8" i="2"/>
  <c r="G8" i="2" s="1"/>
  <c r="H8" i="2" s="1"/>
  <c r="K8" i="2" s="1"/>
  <c r="F9" i="2"/>
  <c r="G9" i="2" s="1"/>
  <c r="H9" i="2" s="1"/>
  <c r="K9" i="2" s="1"/>
  <c r="F10" i="2"/>
  <c r="G10" i="2" s="1"/>
  <c r="H10" i="2" s="1"/>
  <c r="K10" i="2" s="1"/>
  <c r="F11" i="2"/>
  <c r="G11" i="2" s="1"/>
  <c r="H11" i="2" s="1"/>
  <c r="K11" i="2" s="1"/>
  <c r="F12" i="2"/>
  <c r="G12" i="2" s="1"/>
  <c r="H12" i="2" s="1"/>
  <c r="K12" i="2" s="1"/>
  <c r="F15" i="2"/>
  <c r="G15" i="2" s="1"/>
  <c r="H15" i="2" s="1"/>
  <c r="K15" i="2" s="1"/>
  <c r="F16" i="2"/>
  <c r="G16" i="2" s="1"/>
  <c r="H16" i="2" s="1"/>
  <c r="K16" i="2" s="1"/>
  <c r="F17" i="2"/>
  <c r="G17" i="2" s="1"/>
  <c r="H17" i="2" s="1"/>
  <c r="K17" i="2" s="1"/>
  <c r="F18" i="2"/>
  <c r="G18" i="2" s="1"/>
  <c r="H18" i="2" s="1"/>
  <c r="K18" i="2" s="1"/>
  <c r="F19" i="2"/>
  <c r="G19" i="2" s="1"/>
  <c r="H19" i="2" s="1"/>
  <c r="K19" i="2" s="1"/>
  <c r="G58" i="2"/>
  <c r="H58" i="2" s="1"/>
  <c r="K58" i="2" s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1" i="1"/>
  <c r="F31" i="1"/>
  <c r="G32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H70" i="2" l="1"/>
  <c r="K70" i="2" s="1"/>
  <c r="H291" i="2"/>
  <c r="K291" i="2" s="1"/>
  <c r="H401" i="2"/>
  <c r="K401" i="2" s="1"/>
  <c r="H2" i="2"/>
  <c r="K2" i="2" s="1"/>
</calcChain>
</file>

<file path=xl/sharedStrings.xml><?xml version="1.0" encoding="utf-8"?>
<sst xmlns="http://schemas.openxmlformats.org/spreadsheetml/2006/main" count="225" uniqueCount="43">
  <si>
    <t>D</t>
  </si>
  <si>
    <t>S</t>
  </si>
  <si>
    <t>DS</t>
  </si>
  <si>
    <t>NO FMT</t>
  </si>
  <si>
    <t>Patient 1</t>
  </si>
  <si>
    <t>Patient 2</t>
  </si>
  <si>
    <t>CAGE</t>
  </si>
  <si>
    <t>ID animale</t>
  </si>
  <si>
    <t>Healthy FMT</t>
  </si>
  <si>
    <t>Patient 3</t>
  </si>
  <si>
    <t>trattamento con antibiotici</t>
  </si>
  <si>
    <t>FMT</t>
  </si>
  <si>
    <t>1° ciclo DSS</t>
  </si>
  <si>
    <t>Washout</t>
  </si>
  <si>
    <t>2° ciclo DSS</t>
  </si>
  <si>
    <t>3° ciclo DSS</t>
  </si>
  <si>
    <t>DPNRR_9</t>
  </si>
  <si>
    <t>DPNRR_12</t>
  </si>
  <si>
    <t>DPNRRR_13</t>
  </si>
  <si>
    <t>washout</t>
  </si>
  <si>
    <t>Animal</t>
  </si>
  <si>
    <t>Day</t>
  </si>
  <si>
    <t>Weight</t>
  </si>
  <si>
    <t>% of body weight</t>
  </si>
  <si>
    <t>% of body weight LOSS</t>
  </si>
  <si>
    <t>DAI body weight</t>
  </si>
  <si>
    <t xml:space="preserve">Stool consistency </t>
  </si>
  <si>
    <t xml:space="preserve">Blood </t>
  </si>
  <si>
    <t>TOTAL DAI</t>
  </si>
  <si>
    <t>Treatment</t>
  </si>
  <si>
    <t>DSS</t>
  </si>
  <si>
    <t>Recovery</t>
  </si>
  <si>
    <t>X</t>
  </si>
  <si>
    <t>MORTO</t>
  </si>
  <si>
    <t>x</t>
  </si>
  <si>
    <t>Group</t>
  </si>
  <si>
    <t>Antibiotics</t>
  </si>
  <si>
    <t>Antbiotics</t>
  </si>
  <si>
    <t>DSS + Antibiotics</t>
  </si>
  <si>
    <t>DSS + Antibiotcs + UC#3 Patient-FMT</t>
  </si>
  <si>
    <t>DSS + Antibiotics + UC#2 Patient-FMT</t>
  </si>
  <si>
    <t>DSS + Antibiotics + UC#1 Patient-FMT</t>
  </si>
  <si>
    <t>DSS + Antibiotics + Healthy Patient-FMT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</si>
</sst>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"/>
    <numFmt numFmtId="165" formatCode="d/m/yyyy"/>
    <numFmt numFmtId="166" formatCode="#,##0.0"/>
    <numFmt numFmtId="167" formatCode="0.0"/>
  </numFmts>
  <fonts count="23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rgb="FF000000"/>
      <name val="Calibri"/>
      <family val="2"/>
    </font>
    <font>
      <b/>
      <sz val="10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b/>
      <sz val="11"/>
      <color theme="1"/>
      <name val="Arial"/>
      <family val="2"/>
    </font>
    <font>
      <b/>
      <sz val="11"/>
      <name val="Calibri"/>
      <family val="2"/>
    </font>
    <font>
      <b/>
      <sz val="11"/>
      <color rgb="FFFF0000"/>
      <name val="Calibri"/>
      <family val="2"/>
    </font>
    <font>
      <sz val="11"/>
      <color rgb="FF000000"/>
      <name val="Calibri"/>
      <family val="2"/>
      <scheme val="minor"/>
    </font>
    <font>
      <sz val="11"/>
      <color theme="1"/>
      <name val="Calibri (Body)"/>
    </font>
    <font>
      <b/>
      <sz val="12"/>
      <color rgb="FF000000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theme="5" tint="0.59999389629810485"/>
        <bgColor rgb="FFCFE2F3"/>
      </patternFill>
    </fill>
    <fill>
      <patternFill patternType="solid">
        <fgColor theme="9" tint="0.59999389629810485"/>
        <bgColor rgb="FFD9EAD3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4CCCC"/>
      </patternFill>
    </fill>
    <fill>
      <patternFill patternType="solid">
        <fgColor theme="7" tint="0.59999389629810485"/>
        <bgColor rgb="FFF4CCCC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0"/>
        <bgColor theme="0"/>
      </patternFill>
    </fill>
    <fill>
      <patternFill patternType="solid">
        <fgColor theme="4" tint="0.59999389629810485"/>
        <bgColor rgb="FFD0E0E3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rgb="FFD0E0E3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rgb="FFD0E0E3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BECD"/>
        <bgColor rgb="FFD0E0E3"/>
      </patternFill>
    </fill>
    <fill>
      <patternFill patternType="solid">
        <fgColor rgb="FFFFBECD"/>
        <bgColor indexed="64"/>
      </patternFill>
    </fill>
    <fill>
      <patternFill patternType="solid">
        <fgColor theme="9" tint="0.59999389629810485"/>
        <bgColor rgb="FFD0E0E3"/>
      </patternFill>
    </fill>
    <fill>
      <patternFill patternType="solid">
        <fgColor rgb="FFFFE699"/>
        <bgColor rgb="FFD0E0E3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5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501">
    <xf numFmtId="0" fontId="0" fillId="0" borderId="0" xfId="0"/>
    <xf numFmtId="0" fontId="1" fillId="0" borderId="2" xfId="0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65" fontId="2" fillId="0" borderId="2" xfId="0" applyNumberFormat="1" applyFont="1" applyBorder="1" applyAlignment="1">
      <alignment horizontal="center"/>
    </xf>
    <xf numFmtId="0" fontId="1" fillId="4" borderId="4" xfId="0" applyFont="1" applyFill="1" applyBorder="1"/>
    <xf numFmtId="0" fontId="3" fillId="4" borderId="5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0" fillId="6" borderId="9" xfId="0" applyFill="1" applyBorder="1"/>
    <xf numFmtId="0" fontId="3" fillId="7" borderId="9" xfId="0" applyFont="1" applyFill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3" fillId="4" borderId="10" xfId="0" applyFont="1" applyFill="1" applyBorder="1"/>
    <xf numFmtId="0" fontId="3" fillId="4" borderId="11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7" xfId="0" applyFont="1" applyFill="1" applyBorder="1"/>
    <xf numFmtId="166" fontId="4" fillId="0" borderId="14" xfId="0" applyNumberFormat="1" applyFont="1" applyBorder="1" applyAlignment="1">
      <alignment horizontal="center"/>
    </xf>
    <xf numFmtId="166" fontId="4" fillId="0" borderId="9" xfId="0" applyNumberFormat="1" applyFont="1" applyBorder="1" applyAlignment="1">
      <alignment horizontal="center"/>
    </xf>
    <xf numFmtId="0" fontId="3" fillId="8" borderId="9" xfId="0" applyFont="1" applyFill="1" applyBorder="1" applyAlignment="1">
      <alignment horizontal="center"/>
    </xf>
    <xf numFmtId="0" fontId="1" fillId="8" borderId="9" xfId="0" applyFont="1" applyFill="1" applyBorder="1" applyAlignment="1">
      <alignment horizontal="center"/>
    </xf>
    <xf numFmtId="0" fontId="3" fillId="8" borderId="9" xfId="0" applyFont="1" applyFill="1" applyBorder="1"/>
    <xf numFmtId="0" fontId="3" fillId="3" borderId="9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3" fillId="3" borderId="9" xfId="0" applyFont="1" applyFill="1" applyBorder="1"/>
    <xf numFmtId="0" fontId="1" fillId="5" borderId="9" xfId="0" applyFont="1" applyFill="1" applyBorder="1"/>
    <xf numFmtId="0" fontId="3" fillId="5" borderId="9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1" fillId="8" borderId="15" xfId="0" applyFont="1" applyFill="1" applyBorder="1"/>
    <xf numFmtId="0" fontId="3" fillId="8" borderId="15" xfId="0" applyFont="1" applyFill="1" applyBorder="1" applyAlignment="1">
      <alignment horizontal="center"/>
    </xf>
    <xf numFmtId="0" fontId="1" fillId="8" borderId="15" xfId="0" applyFont="1" applyFill="1" applyBorder="1" applyAlignment="1">
      <alignment horizontal="center"/>
    </xf>
    <xf numFmtId="166" fontId="4" fillId="0" borderId="15" xfId="0" applyNumberFormat="1" applyFont="1" applyBorder="1" applyAlignment="1">
      <alignment horizontal="center"/>
    </xf>
    <xf numFmtId="0" fontId="3" fillId="4" borderId="14" xfId="0" applyFont="1" applyFill="1" applyBorder="1"/>
    <xf numFmtId="0" fontId="3" fillId="4" borderId="14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3" borderId="15" xfId="0" applyFont="1" applyFill="1" applyBorder="1"/>
    <xf numFmtId="0" fontId="3" fillId="3" borderId="15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3" fillId="8" borderId="14" xfId="0" applyFont="1" applyFill="1" applyBorder="1"/>
    <xf numFmtId="0" fontId="3" fillId="8" borderId="14" xfId="0" applyFont="1" applyFill="1" applyBorder="1" applyAlignment="1">
      <alignment horizontal="center"/>
    </xf>
    <xf numFmtId="0" fontId="1" fillId="8" borderId="14" xfId="0" applyFont="1" applyFill="1" applyBorder="1" applyAlignment="1">
      <alignment horizontal="center"/>
    </xf>
    <xf numFmtId="0" fontId="1" fillId="5" borderId="15" xfId="0" applyFont="1" applyFill="1" applyBorder="1"/>
    <xf numFmtId="0" fontId="3" fillId="5" borderId="15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0" fontId="3" fillId="3" borderId="14" xfId="0" applyFont="1" applyFill="1" applyBorder="1"/>
    <xf numFmtId="0" fontId="3" fillId="3" borderId="14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2" borderId="9" xfId="0" applyFont="1" applyFill="1" applyBorder="1"/>
    <xf numFmtId="0" fontId="3" fillId="2" borderId="9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7" fillId="7" borderId="9" xfId="0" applyFont="1" applyFill="1" applyBorder="1" applyAlignment="1">
      <alignment horizontal="center"/>
    </xf>
    <xf numFmtId="0" fontId="8" fillId="7" borderId="9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1" fillId="4" borderId="23" xfId="0" applyFont="1" applyFill="1" applyBorder="1" applyAlignment="1">
      <alignment horizontal="center"/>
    </xf>
    <xf numFmtId="0" fontId="1" fillId="8" borderId="24" xfId="0" applyFont="1" applyFill="1" applyBorder="1" applyAlignment="1">
      <alignment horizontal="center"/>
    </xf>
    <xf numFmtId="0" fontId="1" fillId="8" borderId="13" xfId="0" applyFont="1" applyFill="1" applyBorder="1" applyAlignment="1">
      <alignment horizontal="center"/>
    </xf>
    <xf numFmtId="0" fontId="1" fillId="8" borderId="23" xfId="0" applyFont="1" applyFill="1" applyBorder="1" applyAlignment="1">
      <alignment horizontal="center"/>
    </xf>
    <xf numFmtId="0" fontId="1" fillId="3" borderId="2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" fillId="5" borderId="24" xfId="0" applyFont="1" applyFill="1" applyBorder="1" applyAlignment="1">
      <alignment horizontal="center"/>
    </xf>
    <xf numFmtId="0" fontId="1" fillId="5" borderId="13" xfId="0" applyFont="1" applyFill="1" applyBorder="1" applyAlignment="1">
      <alignment horizontal="center"/>
    </xf>
    <xf numFmtId="0" fontId="1" fillId="7" borderId="13" xfId="0" applyFont="1" applyFill="1" applyBorder="1" applyAlignment="1">
      <alignment horizontal="center"/>
    </xf>
    <xf numFmtId="166" fontId="5" fillId="0" borderId="12" xfId="0" applyNumberFormat="1" applyFont="1" applyBorder="1" applyAlignment="1">
      <alignment horizontal="center"/>
    </xf>
    <xf numFmtId="166" fontId="5" fillId="0" borderId="19" xfId="0" applyNumberFormat="1" applyFont="1" applyBorder="1" applyAlignment="1">
      <alignment horizontal="center"/>
    </xf>
    <xf numFmtId="166" fontId="5" fillId="0" borderId="17" xfId="0" applyNumberFormat="1" applyFont="1" applyBorder="1" applyAlignment="1">
      <alignment horizontal="center"/>
    </xf>
    <xf numFmtId="166" fontId="5" fillId="0" borderId="7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6" fillId="0" borderId="9" xfId="0" applyNumberFormat="1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164" fontId="2" fillId="9" borderId="2" xfId="0" applyNumberFormat="1" applyFont="1" applyFill="1" applyBorder="1" applyAlignment="1">
      <alignment horizontal="center"/>
    </xf>
    <xf numFmtId="165" fontId="2" fillId="9" borderId="2" xfId="0" applyNumberFormat="1" applyFont="1" applyFill="1" applyBorder="1" applyAlignment="1">
      <alignment horizontal="center"/>
    </xf>
    <xf numFmtId="165" fontId="6" fillId="9" borderId="2" xfId="0" applyNumberFormat="1" applyFont="1" applyFill="1" applyBorder="1" applyAlignment="1">
      <alignment horizontal="center"/>
    </xf>
    <xf numFmtId="166" fontId="4" fillId="9" borderId="8" xfId="0" applyNumberFormat="1" applyFont="1" applyFill="1" applyBorder="1" applyAlignment="1">
      <alignment horizontal="center"/>
    </xf>
    <xf numFmtId="166" fontId="5" fillId="9" borderId="6" xfId="0" applyNumberFormat="1" applyFont="1" applyFill="1" applyBorder="1" applyAlignment="1">
      <alignment horizontal="center"/>
    </xf>
    <xf numFmtId="166" fontId="4" fillId="9" borderId="9" xfId="0" applyNumberFormat="1" applyFont="1" applyFill="1" applyBorder="1" applyAlignment="1">
      <alignment horizontal="center"/>
    </xf>
    <xf numFmtId="166" fontId="5" fillId="9" borderId="9" xfId="0" applyNumberFormat="1" applyFont="1" applyFill="1" applyBorder="1" applyAlignment="1">
      <alignment horizontal="center"/>
    </xf>
    <xf numFmtId="166" fontId="4" fillId="9" borderId="14" xfId="0" applyNumberFormat="1" applyFont="1" applyFill="1" applyBorder="1" applyAlignment="1">
      <alignment horizontal="center"/>
    </xf>
    <xf numFmtId="166" fontId="5" fillId="9" borderId="14" xfId="0" applyNumberFormat="1" applyFont="1" applyFill="1" applyBorder="1" applyAlignment="1">
      <alignment horizontal="center"/>
    </xf>
    <xf numFmtId="166" fontId="4" fillId="9" borderId="3" xfId="0" applyNumberFormat="1" applyFont="1" applyFill="1" applyBorder="1" applyAlignment="1">
      <alignment horizontal="center"/>
    </xf>
    <xf numFmtId="166" fontId="5" fillId="9" borderId="3" xfId="0" applyNumberFormat="1" applyFont="1" applyFill="1" applyBorder="1" applyAlignment="1">
      <alignment horizontal="center"/>
    </xf>
    <xf numFmtId="166" fontId="4" fillId="9" borderId="6" xfId="0" applyNumberFormat="1" applyFont="1" applyFill="1" applyBorder="1" applyAlignment="1">
      <alignment horizontal="center"/>
    </xf>
    <xf numFmtId="166" fontId="4" fillId="9" borderId="15" xfId="0" applyNumberFormat="1" applyFont="1" applyFill="1" applyBorder="1" applyAlignment="1">
      <alignment horizontal="center"/>
    </xf>
    <xf numFmtId="166" fontId="5" fillId="9" borderId="15" xfId="0" applyNumberFormat="1" applyFont="1" applyFill="1" applyBorder="1" applyAlignment="1">
      <alignment horizontal="center"/>
    </xf>
    <xf numFmtId="0" fontId="4" fillId="9" borderId="9" xfId="0" applyFont="1" applyFill="1" applyBorder="1" applyAlignment="1">
      <alignment horizontal="center" vertical="center"/>
    </xf>
    <xf numFmtId="0" fontId="0" fillId="9" borderId="20" xfId="0" applyFill="1" applyBorder="1"/>
    <xf numFmtId="0" fontId="0" fillId="9" borderId="21" xfId="0" applyFill="1" applyBorder="1"/>
    <xf numFmtId="0" fontId="0" fillId="9" borderId="22" xfId="0" applyFill="1" applyBorder="1"/>
    <xf numFmtId="164" fontId="6" fillId="9" borderId="1" xfId="0" applyNumberFormat="1" applyFont="1" applyFill="1" applyBorder="1" applyAlignment="1">
      <alignment horizontal="center"/>
    </xf>
    <xf numFmtId="165" fontId="2" fillId="9" borderId="9" xfId="0" applyNumberFormat="1" applyFont="1" applyFill="1" applyBorder="1" applyAlignment="1">
      <alignment horizontal="center"/>
    </xf>
    <xf numFmtId="166" fontId="5" fillId="0" borderId="25" xfId="0" applyNumberFormat="1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2" borderId="27" xfId="0" applyFont="1" applyFill="1" applyBorder="1"/>
    <xf numFmtId="0" fontId="1" fillId="0" borderId="9" xfId="0" applyFont="1" applyBorder="1" applyAlignment="1">
      <alignment horizontal="center"/>
    </xf>
    <xf numFmtId="165" fontId="6" fillId="10" borderId="9" xfId="0" applyNumberFormat="1" applyFont="1" applyFill="1" applyBorder="1" applyAlignment="1">
      <alignment horizontal="center"/>
    </xf>
    <xf numFmtId="166" fontId="5" fillId="0" borderId="16" xfId="0" applyNumberFormat="1" applyFont="1" applyBorder="1" applyAlignment="1">
      <alignment horizontal="center"/>
    </xf>
    <xf numFmtId="166" fontId="5" fillId="9" borderId="16" xfId="0" applyNumberFormat="1" applyFont="1" applyFill="1" applyBorder="1" applyAlignment="1">
      <alignment horizontal="center"/>
    </xf>
    <xf numFmtId="166" fontId="5" fillId="0" borderId="9" xfId="0" applyNumberFormat="1" applyFont="1" applyBorder="1" applyAlignment="1">
      <alignment horizontal="center"/>
    </xf>
    <xf numFmtId="166" fontId="5" fillId="0" borderId="14" xfId="0" applyNumberFormat="1" applyFont="1" applyBorder="1" applyAlignment="1">
      <alignment horizontal="center"/>
    </xf>
    <xf numFmtId="166" fontId="5" fillId="0" borderId="15" xfId="0" applyNumberFormat="1" applyFont="1" applyBorder="1" applyAlignment="1">
      <alignment horizontal="center"/>
    </xf>
    <xf numFmtId="166" fontId="5" fillId="0" borderId="28" xfId="0" applyNumberFormat="1" applyFont="1" applyBorder="1" applyAlignment="1">
      <alignment horizontal="center"/>
    </xf>
    <xf numFmtId="166" fontId="5" fillId="0" borderId="29" xfId="0" applyNumberFormat="1" applyFont="1" applyBorder="1" applyAlignment="1">
      <alignment horizontal="center"/>
    </xf>
    <xf numFmtId="166" fontId="5" fillId="0" borderId="30" xfId="0" applyNumberFormat="1" applyFont="1" applyBorder="1" applyAlignment="1">
      <alignment horizontal="center"/>
    </xf>
    <xf numFmtId="166" fontId="5" fillId="0" borderId="31" xfId="0" applyNumberFormat="1" applyFont="1" applyBorder="1" applyAlignment="1">
      <alignment horizontal="center"/>
    </xf>
    <xf numFmtId="166" fontId="5" fillId="0" borderId="6" xfId="0" applyNumberFormat="1" applyFont="1" applyBorder="1" applyAlignment="1">
      <alignment horizontal="center"/>
    </xf>
    <xf numFmtId="166" fontId="5" fillId="0" borderId="3" xfId="0" applyNumberFormat="1" applyFont="1" applyBorder="1" applyAlignment="1">
      <alignment horizontal="center"/>
    </xf>
    <xf numFmtId="166" fontId="5" fillId="0" borderId="32" xfId="0" applyNumberFormat="1" applyFont="1" applyBorder="1" applyAlignment="1">
      <alignment horizontal="center"/>
    </xf>
    <xf numFmtId="0" fontId="5" fillId="0" borderId="0" xfId="0" applyFont="1"/>
    <xf numFmtId="0" fontId="1" fillId="0" borderId="6" xfId="0" applyFont="1" applyBorder="1" applyAlignment="1">
      <alignment horizontal="center"/>
    </xf>
    <xf numFmtId="0" fontId="1" fillId="11" borderId="6" xfId="0" applyFont="1" applyFill="1" applyBorder="1" applyAlignment="1">
      <alignment horizontal="center"/>
    </xf>
    <xf numFmtId="0" fontId="18" fillId="0" borderId="6" xfId="0" applyFont="1" applyBorder="1" applyAlignment="1">
      <alignment horizontal="center"/>
    </xf>
    <xf numFmtId="0" fontId="19" fillId="0" borderId="6" xfId="0" applyFont="1" applyBorder="1" applyAlignment="1">
      <alignment horizontal="center"/>
    </xf>
    <xf numFmtId="14" fontId="0" fillId="0" borderId="0" xfId="0" applyNumberFormat="1"/>
    <xf numFmtId="0" fontId="9" fillId="0" borderId="0" xfId="0" applyFont="1"/>
    <xf numFmtId="0" fontId="1" fillId="12" borderId="33" xfId="0" applyFont="1" applyFill="1" applyBorder="1" applyAlignment="1">
      <alignment horizontal="center"/>
    </xf>
    <xf numFmtId="0" fontId="10" fillId="12" borderId="33" xfId="0" applyFont="1" applyFill="1" applyBorder="1" applyAlignment="1">
      <alignment horizontal="center"/>
    </xf>
    <xf numFmtId="0" fontId="11" fillId="12" borderId="33" xfId="0" applyFont="1" applyFill="1" applyBorder="1" applyAlignment="1">
      <alignment horizontal="center"/>
    </xf>
    <xf numFmtId="2" fontId="3" fillId="12" borderId="33" xfId="0" applyNumberFormat="1" applyFont="1" applyFill="1" applyBorder="1" applyAlignment="1">
      <alignment horizontal="center"/>
    </xf>
    <xf numFmtId="0" fontId="3" fillId="12" borderId="33" xfId="0" applyFont="1" applyFill="1" applyBorder="1" applyAlignment="1">
      <alignment horizontal="center"/>
    </xf>
    <xf numFmtId="0" fontId="12" fillId="12" borderId="33" xfId="0" applyFont="1" applyFill="1" applyBorder="1" applyAlignment="1">
      <alignment horizontal="center"/>
    </xf>
    <xf numFmtId="0" fontId="1" fillId="12" borderId="2" xfId="0" applyFont="1" applyFill="1" applyBorder="1" applyAlignment="1">
      <alignment horizontal="center"/>
    </xf>
    <xf numFmtId="0" fontId="10" fillId="12" borderId="2" xfId="0" applyFont="1" applyFill="1" applyBorder="1" applyAlignment="1">
      <alignment horizontal="center"/>
    </xf>
    <xf numFmtId="0" fontId="11" fillId="12" borderId="2" xfId="0" applyFont="1" applyFill="1" applyBorder="1" applyAlignment="1">
      <alignment horizontal="center"/>
    </xf>
    <xf numFmtId="2" fontId="3" fillId="12" borderId="2" xfId="0" applyNumberFormat="1" applyFont="1" applyFill="1" applyBorder="1" applyAlignment="1">
      <alignment horizontal="center"/>
    </xf>
    <xf numFmtId="0" fontId="3" fillId="12" borderId="2" xfId="0" applyFont="1" applyFill="1" applyBorder="1" applyAlignment="1">
      <alignment horizontal="center"/>
    </xf>
    <xf numFmtId="0" fontId="12" fillId="12" borderId="2" xfId="0" applyFont="1" applyFill="1" applyBorder="1" applyAlignment="1">
      <alignment horizontal="center"/>
    </xf>
    <xf numFmtId="0" fontId="13" fillId="12" borderId="2" xfId="0" applyFont="1" applyFill="1" applyBorder="1" applyAlignment="1">
      <alignment horizontal="center"/>
    </xf>
    <xf numFmtId="0" fontId="14" fillId="12" borderId="2" xfId="0" applyFont="1" applyFill="1" applyBorder="1" applyAlignment="1">
      <alignment horizontal="center"/>
    </xf>
    <xf numFmtId="2" fontId="15" fillId="12" borderId="2" xfId="0" applyNumberFormat="1" applyFont="1" applyFill="1" applyBorder="1" applyAlignment="1">
      <alignment horizontal="center"/>
    </xf>
    <xf numFmtId="0" fontId="15" fillId="12" borderId="2" xfId="0" applyFont="1" applyFill="1" applyBorder="1" applyAlignment="1">
      <alignment horizontal="center"/>
    </xf>
    <xf numFmtId="0" fontId="16" fillId="12" borderId="2" xfId="0" applyFont="1" applyFill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0" fillId="12" borderId="6" xfId="0" applyFont="1" applyFill="1" applyBorder="1" applyAlignment="1">
      <alignment horizontal="center"/>
    </xf>
    <xf numFmtId="0" fontId="11" fillId="12" borderId="6" xfId="0" applyFont="1" applyFill="1" applyBorder="1" applyAlignment="1">
      <alignment horizontal="center"/>
    </xf>
    <xf numFmtId="2" fontId="3" fillId="12" borderId="6" xfId="0" applyNumberFormat="1" applyFont="1" applyFill="1" applyBorder="1" applyAlignment="1">
      <alignment horizontal="center"/>
    </xf>
    <xf numFmtId="0" fontId="3" fillId="12" borderId="6" xfId="0" applyFont="1" applyFill="1" applyBorder="1" applyAlignment="1">
      <alignment horizontal="center"/>
    </xf>
    <xf numFmtId="0" fontId="12" fillId="12" borderId="6" xfId="0" applyFont="1" applyFill="1" applyBorder="1" applyAlignment="1">
      <alignment horizontal="center"/>
    </xf>
    <xf numFmtId="0" fontId="1" fillId="12" borderId="34" xfId="0" applyFont="1" applyFill="1" applyBorder="1" applyAlignment="1">
      <alignment horizontal="center"/>
    </xf>
    <xf numFmtId="0" fontId="10" fillId="12" borderId="34" xfId="0" applyFont="1" applyFill="1" applyBorder="1" applyAlignment="1">
      <alignment horizontal="center"/>
    </xf>
    <xf numFmtId="0" fontId="11" fillId="12" borderId="34" xfId="0" applyFont="1" applyFill="1" applyBorder="1" applyAlignment="1">
      <alignment horizontal="center"/>
    </xf>
    <xf numFmtId="2" fontId="3" fillId="12" borderId="34" xfId="0" applyNumberFormat="1" applyFont="1" applyFill="1" applyBorder="1" applyAlignment="1">
      <alignment horizontal="center"/>
    </xf>
    <xf numFmtId="0" fontId="3" fillId="12" borderId="34" xfId="0" applyFont="1" applyFill="1" applyBorder="1" applyAlignment="1">
      <alignment horizontal="center"/>
    </xf>
    <xf numFmtId="166" fontId="5" fillId="0" borderId="0" xfId="0" applyNumberFormat="1" applyFont="1" applyAlignment="1">
      <alignment horizontal="center"/>
    </xf>
    <xf numFmtId="166" fontId="4" fillId="0" borderId="0" xfId="0" applyNumberFormat="1" applyFont="1" applyAlignment="1">
      <alignment horizontal="center"/>
    </xf>
    <xf numFmtId="166" fontId="4" fillId="13" borderId="35" xfId="0" applyNumberFormat="1" applyFont="1" applyFill="1" applyBorder="1" applyAlignment="1">
      <alignment horizontal="center"/>
    </xf>
    <xf numFmtId="166" fontId="5" fillId="13" borderId="11" xfId="0" applyNumberFormat="1" applyFont="1" applyFill="1" applyBorder="1" applyAlignment="1">
      <alignment horizontal="center"/>
    </xf>
    <xf numFmtId="166" fontId="5" fillId="13" borderId="6" xfId="0" applyNumberFormat="1" applyFont="1" applyFill="1" applyBorder="1" applyAlignment="1">
      <alignment horizontal="center"/>
    </xf>
    <xf numFmtId="0" fontId="1" fillId="14" borderId="33" xfId="0" applyFont="1" applyFill="1" applyBorder="1" applyAlignment="1">
      <alignment horizontal="center"/>
    </xf>
    <xf numFmtId="0" fontId="10" fillId="14" borderId="33" xfId="0" applyFont="1" applyFill="1" applyBorder="1" applyAlignment="1">
      <alignment horizontal="center"/>
    </xf>
    <xf numFmtId="166" fontId="4" fillId="15" borderId="35" xfId="0" applyNumberFormat="1" applyFont="1" applyFill="1" applyBorder="1" applyAlignment="1">
      <alignment horizontal="center"/>
    </xf>
    <xf numFmtId="2" fontId="3" fillId="14" borderId="33" xfId="0" applyNumberFormat="1" applyFont="1" applyFill="1" applyBorder="1" applyAlignment="1">
      <alignment horizontal="center"/>
    </xf>
    <xf numFmtId="0" fontId="3" fillId="14" borderId="33" xfId="0" applyFont="1" applyFill="1" applyBorder="1" applyAlignment="1">
      <alignment horizontal="center"/>
    </xf>
    <xf numFmtId="0" fontId="12" fillId="14" borderId="33" xfId="0" applyFont="1" applyFill="1" applyBorder="1" applyAlignment="1">
      <alignment horizontal="center"/>
    </xf>
    <xf numFmtId="0" fontId="1" fillId="14" borderId="2" xfId="0" applyFont="1" applyFill="1" applyBorder="1" applyAlignment="1">
      <alignment horizontal="center"/>
    </xf>
    <xf numFmtId="0" fontId="10" fillId="14" borderId="2" xfId="0" applyFont="1" applyFill="1" applyBorder="1" applyAlignment="1">
      <alignment horizontal="center"/>
    </xf>
    <xf numFmtId="166" fontId="5" fillId="15" borderId="11" xfId="0" applyNumberFormat="1" applyFont="1" applyFill="1" applyBorder="1" applyAlignment="1">
      <alignment horizontal="center"/>
    </xf>
    <xf numFmtId="2" fontId="3" fillId="14" borderId="2" xfId="0" applyNumberFormat="1" applyFont="1" applyFill="1" applyBorder="1" applyAlignment="1">
      <alignment horizontal="center"/>
    </xf>
    <xf numFmtId="0" fontId="3" fillId="14" borderId="2" xfId="0" applyFont="1" applyFill="1" applyBorder="1" applyAlignment="1">
      <alignment horizontal="center"/>
    </xf>
    <xf numFmtId="0" fontId="12" fillId="14" borderId="2" xfId="0" applyFont="1" applyFill="1" applyBorder="1" applyAlignment="1">
      <alignment horizontal="center"/>
    </xf>
    <xf numFmtId="166" fontId="5" fillId="15" borderId="6" xfId="0" applyNumberFormat="1" applyFont="1" applyFill="1" applyBorder="1" applyAlignment="1">
      <alignment horizontal="center"/>
    </xf>
    <xf numFmtId="0" fontId="13" fillId="14" borderId="2" xfId="0" applyFont="1" applyFill="1" applyBorder="1" applyAlignment="1">
      <alignment horizontal="center"/>
    </xf>
    <xf numFmtId="0" fontId="14" fillId="14" borderId="2" xfId="0" applyFont="1" applyFill="1" applyBorder="1" applyAlignment="1">
      <alignment horizontal="center"/>
    </xf>
    <xf numFmtId="2" fontId="15" fillId="14" borderId="2" xfId="0" applyNumberFormat="1" applyFont="1" applyFill="1" applyBorder="1" applyAlignment="1">
      <alignment horizontal="center"/>
    </xf>
    <xf numFmtId="0" fontId="15" fillId="14" borderId="2" xfId="0" applyFont="1" applyFill="1" applyBorder="1" applyAlignment="1">
      <alignment horizontal="center"/>
    </xf>
    <xf numFmtId="0" fontId="16" fillId="14" borderId="2" xfId="0" applyFont="1" applyFill="1" applyBorder="1" applyAlignment="1">
      <alignment horizontal="center"/>
    </xf>
    <xf numFmtId="0" fontId="11" fillId="14" borderId="2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0" fillId="14" borderId="6" xfId="0" applyFont="1" applyFill="1" applyBorder="1" applyAlignment="1">
      <alignment horizontal="center"/>
    </xf>
    <xf numFmtId="0" fontId="11" fillId="14" borderId="6" xfId="0" applyFont="1" applyFill="1" applyBorder="1" applyAlignment="1">
      <alignment horizontal="center"/>
    </xf>
    <xf numFmtId="2" fontId="3" fillId="14" borderId="6" xfId="0" applyNumberFormat="1" applyFont="1" applyFill="1" applyBorder="1" applyAlignment="1">
      <alignment horizontal="center"/>
    </xf>
    <xf numFmtId="0" fontId="3" fillId="14" borderId="6" xfId="0" applyFont="1" applyFill="1" applyBorder="1" applyAlignment="1">
      <alignment horizontal="center"/>
    </xf>
    <xf numFmtId="0" fontId="12" fillId="14" borderId="6" xfId="0" applyFont="1" applyFill="1" applyBorder="1" applyAlignment="1">
      <alignment horizontal="center"/>
    </xf>
    <xf numFmtId="0" fontId="11" fillId="14" borderId="33" xfId="0" applyFont="1" applyFill="1" applyBorder="1" applyAlignment="1">
      <alignment horizontal="center"/>
    </xf>
    <xf numFmtId="0" fontId="1" fillId="14" borderId="34" xfId="0" applyFont="1" applyFill="1" applyBorder="1" applyAlignment="1">
      <alignment horizontal="center"/>
    </xf>
    <xf numFmtId="0" fontId="10" fillId="14" borderId="34" xfId="0" applyFont="1" applyFill="1" applyBorder="1" applyAlignment="1">
      <alignment horizontal="center"/>
    </xf>
    <xf numFmtId="2" fontId="3" fillId="14" borderId="34" xfId="0" applyNumberFormat="1" applyFont="1" applyFill="1" applyBorder="1" applyAlignment="1">
      <alignment horizontal="center"/>
    </xf>
    <xf numFmtId="0" fontId="3" fillId="14" borderId="34" xfId="0" applyFont="1" applyFill="1" applyBorder="1" applyAlignment="1">
      <alignment horizontal="center"/>
    </xf>
    <xf numFmtId="0" fontId="12" fillId="14" borderId="34" xfId="0" applyFont="1" applyFill="1" applyBorder="1" applyAlignment="1">
      <alignment horizontal="center"/>
    </xf>
    <xf numFmtId="166" fontId="5" fillId="0" borderId="36" xfId="0" applyNumberFormat="1" applyFont="1" applyBorder="1" applyAlignment="1">
      <alignment horizontal="center"/>
    </xf>
    <xf numFmtId="0" fontId="12" fillId="12" borderId="8" xfId="0" applyFont="1" applyFill="1" applyBorder="1" applyAlignment="1">
      <alignment horizontal="center"/>
    </xf>
    <xf numFmtId="0" fontId="1" fillId="12" borderId="8" xfId="0" applyFont="1" applyFill="1" applyBorder="1" applyAlignment="1">
      <alignment horizontal="center"/>
    </xf>
    <xf numFmtId="0" fontId="1" fillId="14" borderId="8" xfId="0" applyFont="1" applyFill="1" applyBorder="1" applyAlignment="1">
      <alignment horizontal="center"/>
    </xf>
    <xf numFmtId="0" fontId="12" fillId="12" borderId="37" xfId="0" applyFont="1" applyFill="1" applyBorder="1" applyAlignment="1">
      <alignment horizontal="center"/>
    </xf>
    <xf numFmtId="0" fontId="12" fillId="12" borderId="38" xfId="0" applyFont="1" applyFill="1" applyBorder="1" applyAlignment="1">
      <alignment horizontal="center"/>
    </xf>
    <xf numFmtId="0" fontId="0" fillId="13" borderId="29" xfId="0" applyFill="1" applyBorder="1"/>
    <xf numFmtId="0" fontId="0" fillId="13" borderId="39" xfId="0" applyFill="1" applyBorder="1"/>
    <xf numFmtId="0" fontId="1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0" fillId="0" borderId="42" xfId="0" applyBorder="1"/>
    <xf numFmtId="0" fontId="11" fillId="12" borderId="8" xfId="0" applyFont="1" applyFill="1" applyBorder="1" applyAlignment="1">
      <alignment horizontal="center"/>
    </xf>
    <xf numFmtId="2" fontId="3" fillId="12" borderId="8" xfId="0" applyNumberFormat="1" applyFont="1" applyFill="1" applyBorder="1" applyAlignment="1">
      <alignment horizontal="center"/>
    </xf>
    <xf numFmtId="0" fontId="3" fillId="12" borderId="8" xfId="0" applyFont="1" applyFill="1" applyBorder="1" applyAlignment="1">
      <alignment horizontal="center"/>
    </xf>
    <xf numFmtId="0" fontId="1" fillId="12" borderId="9" xfId="0" applyFont="1" applyFill="1" applyBorder="1" applyAlignment="1">
      <alignment horizontal="center"/>
    </xf>
    <xf numFmtId="0" fontId="10" fillId="12" borderId="9" xfId="0" applyFont="1" applyFill="1" applyBorder="1" applyAlignment="1">
      <alignment horizontal="center"/>
    </xf>
    <xf numFmtId="0" fontId="11" fillId="12" borderId="9" xfId="0" applyFont="1" applyFill="1" applyBorder="1" applyAlignment="1">
      <alignment horizontal="center"/>
    </xf>
    <xf numFmtId="2" fontId="3" fillId="12" borderId="9" xfId="0" applyNumberFormat="1" applyFont="1" applyFill="1" applyBorder="1" applyAlignment="1">
      <alignment horizontal="center"/>
    </xf>
    <xf numFmtId="0" fontId="3" fillId="12" borderId="9" xfId="0" applyFont="1" applyFill="1" applyBorder="1" applyAlignment="1">
      <alignment horizontal="center"/>
    </xf>
    <xf numFmtId="0" fontId="12" fillId="12" borderId="9" xfId="0" applyFont="1" applyFill="1" applyBorder="1" applyAlignment="1">
      <alignment horizontal="center"/>
    </xf>
    <xf numFmtId="0" fontId="0" fillId="13" borderId="9" xfId="0" applyFill="1" applyBorder="1"/>
    <xf numFmtId="0" fontId="13" fillId="12" borderId="9" xfId="0" applyFont="1" applyFill="1" applyBorder="1" applyAlignment="1">
      <alignment horizontal="center"/>
    </xf>
    <xf numFmtId="0" fontId="0" fillId="15" borderId="29" xfId="0" applyFill="1" applyBorder="1"/>
    <xf numFmtId="0" fontId="0" fillId="15" borderId="39" xfId="0" applyFill="1" applyBorder="1"/>
    <xf numFmtId="0" fontId="12" fillId="14" borderId="37" xfId="0" applyFont="1" applyFill="1" applyBorder="1" applyAlignment="1">
      <alignment horizontal="center"/>
    </xf>
    <xf numFmtId="0" fontId="12" fillId="14" borderId="38" xfId="0" applyFont="1" applyFill="1" applyBorder="1" applyAlignment="1">
      <alignment horizontal="center"/>
    </xf>
    <xf numFmtId="0" fontId="12" fillId="14" borderId="8" xfId="0" applyFont="1" applyFill="1" applyBorder="1" applyAlignment="1">
      <alignment horizontal="center"/>
    </xf>
    <xf numFmtId="0" fontId="1" fillId="14" borderId="43" xfId="0" applyFont="1" applyFill="1" applyBorder="1" applyAlignment="1">
      <alignment horizontal="center"/>
    </xf>
    <xf numFmtId="0" fontId="11" fillId="14" borderId="8" xfId="0" applyFont="1" applyFill="1" applyBorder="1" applyAlignment="1">
      <alignment horizontal="center"/>
    </xf>
    <xf numFmtId="2" fontId="3" fillId="14" borderId="8" xfId="0" applyNumberFormat="1" applyFont="1" applyFill="1" applyBorder="1" applyAlignment="1">
      <alignment horizontal="center"/>
    </xf>
    <xf numFmtId="0" fontId="3" fillId="14" borderId="8" xfId="0" applyFont="1" applyFill="1" applyBorder="1" applyAlignment="1">
      <alignment horizontal="center"/>
    </xf>
    <xf numFmtId="0" fontId="1" fillId="14" borderId="9" xfId="0" applyFont="1" applyFill="1" applyBorder="1" applyAlignment="1">
      <alignment horizontal="center"/>
    </xf>
    <xf numFmtId="0" fontId="10" fillId="14" borderId="9" xfId="0" applyFont="1" applyFill="1" applyBorder="1" applyAlignment="1">
      <alignment horizontal="center"/>
    </xf>
    <xf numFmtId="0" fontId="11" fillId="14" borderId="9" xfId="0" applyFont="1" applyFill="1" applyBorder="1" applyAlignment="1">
      <alignment horizontal="center"/>
    </xf>
    <xf numFmtId="2" fontId="3" fillId="14" borderId="9" xfId="0" applyNumberFormat="1" applyFont="1" applyFill="1" applyBorder="1" applyAlignment="1">
      <alignment horizontal="center"/>
    </xf>
    <xf numFmtId="0" fontId="3" fillId="14" borderId="9" xfId="0" applyFont="1" applyFill="1" applyBorder="1" applyAlignment="1">
      <alignment horizontal="center"/>
    </xf>
    <xf numFmtId="0" fontId="12" fillId="14" borderId="9" xfId="0" applyFont="1" applyFill="1" applyBorder="1" applyAlignment="1">
      <alignment horizontal="center"/>
    </xf>
    <xf numFmtId="0" fontId="0" fillId="15" borderId="9" xfId="0" applyFill="1" applyBorder="1"/>
    <xf numFmtId="0" fontId="13" fillId="14" borderId="9" xfId="0" applyFont="1" applyFill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16" borderId="33" xfId="0" applyFont="1" applyFill="1" applyBorder="1" applyAlignment="1">
      <alignment horizontal="center"/>
    </xf>
    <xf numFmtId="0" fontId="10" fillId="16" borderId="33" xfId="0" applyFont="1" applyFill="1" applyBorder="1" applyAlignment="1">
      <alignment horizontal="center"/>
    </xf>
    <xf numFmtId="166" fontId="4" fillId="17" borderId="35" xfId="0" applyNumberFormat="1" applyFont="1" applyFill="1" applyBorder="1" applyAlignment="1">
      <alignment horizontal="center"/>
    </xf>
    <xf numFmtId="2" fontId="3" fillId="16" borderId="33" xfId="0" applyNumberFormat="1" applyFont="1" applyFill="1" applyBorder="1" applyAlignment="1">
      <alignment horizontal="center"/>
    </xf>
    <xf numFmtId="0" fontId="3" fillId="16" borderId="33" xfId="0" applyFont="1" applyFill="1" applyBorder="1" applyAlignment="1">
      <alignment horizontal="center"/>
    </xf>
    <xf numFmtId="0" fontId="12" fillId="16" borderId="33" xfId="0" applyFont="1" applyFill="1" applyBorder="1" applyAlignment="1">
      <alignment horizontal="center"/>
    </xf>
    <xf numFmtId="0" fontId="1" fillId="16" borderId="2" xfId="0" applyFont="1" applyFill="1" applyBorder="1" applyAlignment="1">
      <alignment horizontal="center"/>
    </xf>
    <xf numFmtId="0" fontId="10" fillId="16" borderId="2" xfId="0" applyFont="1" applyFill="1" applyBorder="1" applyAlignment="1">
      <alignment horizontal="center"/>
    </xf>
    <xf numFmtId="166" fontId="5" fillId="17" borderId="11" xfId="0" applyNumberFormat="1" applyFont="1" applyFill="1" applyBorder="1" applyAlignment="1">
      <alignment horizontal="center"/>
    </xf>
    <xf numFmtId="2" fontId="3" fillId="16" borderId="2" xfId="0" applyNumberFormat="1" applyFont="1" applyFill="1" applyBorder="1" applyAlignment="1">
      <alignment horizontal="center"/>
    </xf>
    <xf numFmtId="0" fontId="3" fillId="16" borderId="2" xfId="0" applyFont="1" applyFill="1" applyBorder="1" applyAlignment="1">
      <alignment horizontal="center"/>
    </xf>
    <xf numFmtId="0" fontId="12" fillId="16" borderId="2" xfId="0" applyFont="1" applyFill="1" applyBorder="1" applyAlignment="1">
      <alignment horizontal="center"/>
    </xf>
    <xf numFmtId="166" fontId="5" fillId="17" borderId="6" xfId="0" applyNumberFormat="1" applyFont="1" applyFill="1" applyBorder="1" applyAlignment="1">
      <alignment horizontal="center"/>
    </xf>
    <xf numFmtId="0" fontId="13" fillId="16" borderId="2" xfId="0" applyFont="1" applyFill="1" applyBorder="1" applyAlignment="1">
      <alignment horizontal="center"/>
    </xf>
    <xf numFmtId="0" fontId="14" fillId="16" borderId="2" xfId="0" applyFont="1" applyFill="1" applyBorder="1" applyAlignment="1">
      <alignment horizontal="center"/>
    </xf>
    <xf numFmtId="2" fontId="15" fillId="16" borderId="2" xfId="0" applyNumberFormat="1" applyFont="1" applyFill="1" applyBorder="1" applyAlignment="1">
      <alignment horizontal="center"/>
    </xf>
    <xf numFmtId="0" fontId="15" fillId="16" borderId="2" xfId="0" applyFont="1" applyFill="1" applyBorder="1" applyAlignment="1">
      <alignment horizontal="center"/>
    </xf>
    <xf numFmtId="0" fontId="16" fillId="16" borderId="2" xfId="0" applyFont="1" applyFill="1" applyBorder="1" applyAlignment="1">
      <alignment horizontal="center"/>
    </xf>
    <xf numFmtId="0" fontId="11" fillId="16" borderId="2" xfId="0" applyFont="1" applyFill="1" applyBorder="1" applyAlignment="1">
      <alignment horizontal="center"/>
    </xf>
    <xf numFmtId="0" fontId="0" fillId="17" borderId="29" xfId="0" applyFill="1" applyBorder="1"/>
    <xf numFmtId="0" fontId="0" fillId="17" borderId="39" xfId="0" applyFill="1" applyBorder="1"/>
    <xf numFmtId="0" fontId="1" fillId="16" borderId="6" xfId="0" applyFont="1" applyFill="1" applyBorder="1" applyAlignment="1">
      <alignment horizontal="center"/>
    </xf>
    <xf numFmtId="0" fontId="10" fillId="16" borderId="6" xfId="0" applyFont="1" applyFill="1" applyBorder="1" applyAlignment="1">
      <alignment horizontal="center"/>
    </xf>
    <xf numFmtId="0" fontId="11" fillId="16" borderId="6" xfId="0" applyFont="1" applyFill="1" applyBorder="1" applyAlignment="1">
      <alignment horizontal="center"/>
    </xf>
    <xf numFmtId="2" fontId="3" fillId="16" borderId="6" xfId="0" applyNumberFormat="1" applyFont="1" applyFill="1" applyBorder="1" applyAlignment="1">
      <alignment horizontal="center"/>
    </xf>
    <xf numFmtId="0" fontId="3" fillId="16" borderId="6" xfId="0" applyFont="1" applyFill="1" applyBorder="1" applyAlignment="1">
      <alignment horizontal="center"/>
    </xf>
    <xf numFmtId="0" fontId="12" fillId="16" borderId="6" xfId="0" applyFont="1" applyFill="1" applyBorder="1" applyAlignment="1">
      <alignment horizontal="center"/>
    </xf>
    <xf numFmtId="0" fontId="11" fillId="16" borderId="33" xfId="0" applyFont="1" applyFill="1" applyBorder="1" applyAlignment="1">
      <alignment horizontal="center"/>
    </xf>
    <xf numFmtId="2" fontId="1" fillId="16" borderId="2" xfId="0" applyNumberFormat="1" applyFont="1" applyFill="1" applyBorder="1" applyAlignment="1">
      <alignment horizontal="center"/>
    </xf>
    <xf numFmtId="0" fontId="17" fillId="16" borderId="33" xfId="0" applyFont="1" applyFill="1" applyBorder="1" applyAlignment="1">
      <alignment horizontal="center"/>
    </xf>
    <xf numFmtId="0" fontId="0" fillId="17" borderId="40" xfId="0" applyFill="1" applyBorder="1"/>
    <xf numFmtId="0" fontId="12" fillId="16" borderId="37" xfId="0" applyFont="1" applyFill="1" applyBorder="1" applyAlignment="1">
      <alignment horizontal="center"/>
    </xf>
    <xf numFmtId="0" fontId="12" fillId="16" borderId="38" xfId="0" applyFont="1" applyFill="1" applyBorder="1" applyAlignment="1">
      <alignment horizontal="center"/>
    </xf>
    <xf numFmtId="0" fontId="12" fillId="16" borderId="8" xfId="0" applyFont="1" applyFill="1" applyBorder="1" applyAlignment="1">
      <alignment horizontal="center"/>
    </xf>
    <xf numFmtId="0" fontId="1" fillId="16" borderId="34" xfId="0" applyFont="1" applyFill="1" applyBorder="1" applyAlignment="1">
      <alignment horizontal="center"/>
    </xf>
    <xf numFmtId="0" fontId="10" fillId="16" borderId="34" xfId="0" applyFont="1" applyFill="1" applyBorder="1" applyAlignment="1">
      <alignment horizontal="center"/>
    </xf>
    <xf numFmtId="0" fontId="11" fillId="16" borderId="34" xfId="0" applyFont="1" applyFill="1" applyBorder="1" applyAlignment="1">
      <alignment horizontal="center"/>
    </xf>
    <xf numFmtId="2" fontId="3" fillId="16" borderId="34" xfId="0" applyNumberFormat="1" applyFont="1" applyFill="1" applyBorder="1" applyAlignment="1">
      <alignment horizontal="center"/>
    </xf>
    <xf numFmtId="0" fontId="3" fillId="16" borderId="34" xfId="0" applyFont="1" applyFill="1" applyBorder="1" applyAlignment="1">
      <alignment horizontal="center"/>
    </xf>
    <xf numFmtId="0" fontId="0" fillId="17" borderId="41" xfId="0" applyFill="1" applyBorder="1"/>
    <xf numFmtId="0" fontId="1" fillId="16" borderId="8" xfId="0" applyFont="1" applyFill="1" applyBorder="1" applyAlignment="1">
      <alignment horizontal="center"/>
    </xf>
    <xf numFmtId="0" fontId="1" fillId="16" borderId="43" xfId="0" applyFont="1" applyFill="1" applyBorder="1" applyAlignment="1">
      <alignment horizontal="center"/>
    </xf>
    <xf numFmtId="0" fontId="11" fillId="16" borderId="8" xfId="0" applyFont="1" applyFill="1" applyBorder="1" applyAlignment="1">
      <alignment horizontal="center"/>
    </xf>
    <xf numFmtId="2" fontId="3" fillId="16" borderId="8" xfId="0" applyNumberFormat="1" applyFont="1" applyFill="1" applyBorder="1" applyAlignment="1">
      <alignment horizontal="center"/>
    </xf>
    <xf numFmtId="0" fontId="3" fillId="16" borderId="8" xfId="0" applyFont="1" applyFill="1" applyBorder="1" applyAlignment="1">
      <alignment horizontal="center"/>
    </xf>
    <xf numFmtId="0" fontId="1" fillId="16" borderId="9" xfId="0" applyFont="1" applyFill="1" applyBorder="1" applyAlignment="1">
      <alignment horizontal="center"/>
    </xf>
    <xf numFmtId="0" fontId="10" fillId="16" borderId="9" xfId="0" applyFont="1" applyFill="1" applyBorder="1" applyAlignment="1">
      <alignment horizontal="center"/>
    </xf>
    <xf numFmtId="0" fontId="11" fillId="16" borderId="9" xfId="0" applyFont="1" applyFill="1" applyBorder="1" applyAlignment="1">
      <alignment horizontal="center"/>
    </xf>
    <xf numFmtId="2" fontId="3" fillId="16" borderId="9" xfId="0" applyNumberFormat="1" applyFont="1" applyFill="1" applyBorder="1" applyAlignment="1">
      <alignment horizontal="center"/>
    </xf>
    <xf numFmtId="0" fontId="3" fillId="16" borderId="9" xfId="0" applyFont="1" applyFill="1" applyBorder="1" applyAlignment="1">
      <alignment horizontal="center"/>
    </xf>
    <xf numFmtId="0" fontId="12" fillId="16" borderId="9" xfId="0" applyFont="1" applyFill="1" applyBorder="1" applyAlignment="1">
      <alignment horizontal="center"/>
    </xf>
    <xf numFmtId="0" fontId="0" fillId="17" borderId="9" xfId="0" applyFill="1" applyBorder="1"/>
    <xf numFmtId="0" fontId="13" fillId="16" borderId="9" xfId="0" applyFont="1" applyFill="1" applyBorder="1" applyAlignment="1">
      <alignment horizontal="center"/>
    </xf>
    <xf numFmtId="0" fontId="1" fillId="18" borderId="33" xfId="0" applyFont="1" applyFill="1" applyBorder="1" applyAlignment="1">
      <alignment horizontal="center"/>
    </xf>
    <xf numFmtId="0" fontId="10" fillId="18" borderId="33" xfId="0" applyFont="1" applyFill="1" applyBorder="1" applyAlignment="1">
      <alignment horizontal="center"/>
    </xf>
    <xf numFmtId="166" fontId="4" fillId="19" borderId="35" xfId="0" applyNumberFormat="1" applyFont="1" applyFill="1" applyBorder="1" applyAlignment="1">
      <alignment horizontal="center"/>
    </xf>
    <xf numFmtId="2" fontId="3" fillId="18" borderId="33" xfId="0" applyNumberFormat="1" applyFont="1" applyFill="1" applyBorder="1" applyAlignment="1">
      <alignment horizontal="center"/>
    </xf>
    <xf numFmtId="0" fontId="3" fillId="18" borderId="33" xfId="0" applyFont="1" applyFill="1" applyBorder="1" applyAlignment="1">
      <alignment horizontal="center"/>
    </xf>
    <xf numFmtId="0" fontId="12" fillId="18" borderId="33" xfId="0" applyFont="1" applyFill="1" applyBorder="1" applyAlignment="1">
      <alignment horizontal="center"/>
    </xf>
    <xf numFmtId="0" fontId="1" fillId="18" borderId="2" xfId="0" applyFont="1" applyFill="1" applyBorder="1" applyAlignment="1">
      <alignment horizontal="center"/>
    </xf>
    <xf numFmtId="0" fontId="10" fillId="18" borderId="2" xfId="0" applyFont="1" applyFill="1" applyBorder="1" applyAlignment="1">
      <alignment horizontal="center"/>
    </xf>
    <xf numFmtId="166" fontId="5" fillId="19" borderId="11" xfId="0" applyNumberFormat="1" applyFont="1" applyFill="1" applyBorder="1" applyAlignment="1">
      <alignment horizontal="center"/>
    </xf>
    <xf numFmtId="2" fontId="3" fillId="18" borderId="2" xfId="0" applyNumberFormat="1" applyFont="1" applyFill="1" applyBorder="1" applyAlignment="1">
      <alignment horizontal="center"/>
    </xf>
    <xf numFmtId="0" fontId="3" fillId="18" borderId="2" xfId="0" applyFont="1" applyFill="1" applyBorder="1" applyAlignment="1">
      <alignment horizontal="center"/>
    </xf>
    <xf numFmtId="0" fontId="12" fillId="18" borderId="2" xfId="0" applyFont="1" applyFill="1" applyBorder="1" applyAlignment="1">
      <alignment horizontal="center"/>
    </xf>
    <xf numFmtId="166" fontId="5" fillId="19" borderId="6" xfId="0" applyNumberFormat="1" applyFont="1" applyFill="1" applyBorder="1" applyAlignment="1">
      <alignment horizontal="center"/>
    </xf>
    <xf numFmtId="0" fontId="13" fillId="18" borderId="2" xfId="0" applyFont="1" applyFill="1" applyBorder="1" applyAlignment="1">
      <alignment horizontal="center"/>
    </xf>
    <xf numFmtId="0" fontId="14" fillId="18" borderId="2" xfId="0" applyFont="1" applyFill="1" applyBorder="1" applyAlignment="1">
      <alignment horizontal="center"/>
    </xf>
    <xf numFmtId="2" fontId="15" fillId="18" borderId="2" xfId="0" applyNumberFormat="1" applyFont="1" applyFill="1" applyBorder="1" applyAlignment="1">
      <alignment horizontal="center"/>
    </xf>
    <xf numFmtId="0" fontId="15" fillId="18" borderId="2" xfId="0" applyFont="1" applyFill="1" applyBorder="1" applyAlignment="1">
      <alignment horizontal="center"/>
    </xf>
    <xf numFmtId="0" fontId="16" fillId="18" borderId="2" xfId="0" applyFont="1" applyFill="1" applyBorder="1" applyAlignment="1">
      <alignment horizontal="center"/>
    </xf>
    <xf numFmtId="0" fontId="11" fillId="18" borderId="2" xfId="0" applyFont="1" applyFill="1" applyBorder="1" applyAlignment="1">
      <alignment horizontal="center"/>
    </xf>
    <xf numFmtId="0" fontId="0" fillId="19" borderId="29" xfId="0" applyFill="1" applyBorder="1"/>
    <xf numFmtId="0" fontId="0" fillId="19" borderId="39" xfId="0" applyFill="1" applyBorder="1"/>
    <xf numFmtId="0" fontId="1" fillId="18" borderId="6" xfId="0" applyFont="1" applyFill="1" applyBorder="1" applyAlignment="1">
      <alignment horizontal="center"/>
    </xf>
    <xf numFmtId="0" fontId="10" fillId="18" borderId="6" xfId="0" applyFont="1" applyFill="1" applyBorder="1" applyAlignment="1">
      <alignment horizontal="center"/>
    </xf>
    <xf numFmtId="0" fontId="11" fillId="18" borderId="6" xfId="0" applyFont="1" applyFill="1" applyBorder="1" applyAlignment="1">
      <alignment horizontal="center"/>
    </xf>
    <xf numFmtId="2" fontId="3" fillId="18" borderId="6" xfId="0" applyNumberFormat="1" applyFont="1" applyFill="1" applyBorder="1" applyAlignment="1">
      <alignment horizontal="center"/>
    </xf>
    <xf numFmtId="0" fontId="3" fillId="18" borderId="6" xfId="0" applyFont="1" applyFill="1" applyBorder="1" applyAlignment="1">
      <alignment horizontal="center"/>
    </xf>
    <xf numFmtId="0" fontId="12" fillId="18" borderId="6" xfId="0" applyFont="1" applyFill="1" applyBorder="1" applyAlignment="1">
      <alignment horizontal="center"/>
    </xf>
    <xf numFmtId="0" fontId="11" fillId="18" borderId="33" xfId="0" applyFont="1" applyFill="1" applyBorder="1" applyAlignment="1">
      <alignment horizontal="center"/>
    </xf>
    <xf numFmtId="2" fontId="1" fillId="18" borderId="2" xfId="0" applyNumberFormat="1" applyFont="1" applyFill="1" applyBorder="1" applyAlignment="1">
      <alignment horizontal="center"/>
    </xf>
    <xf numFmtId="0" fontId="17" fillId="18" borderId="33" xfId="0" applyFont="1" applyFill="1" applyBorder="1" applyAlignment="1">
      <alignment horizontal="center"/>
    </xf>
    <xf numFmtId="0" fontId="0" fillId="19" borderId="40" xfId="0" applyFill="1" applyBorder="1"/>
    <xf numFmtId="0" fontId="12" fillId="18" borderId="37" xfId="0" applyFont="1" applyFill="1" applyBorder="1" applyAlignment="1">
      <alignment horizontal="center"/>
    </xf>
    <xf numFmtId="0" fontId="12" fillId="18" borderId="38" xfId="0" applyFont="1" applyFill="1" applyBorder="1" applyAlignment="1">
      <alignment horizontal="center"/>
    </xf>
    <xf numFmtId="0" fontId="12" fillId="18" borderId="8" xfId="0" applyFont="1" applyFill="1" applyBorder="1" applyAlignment="1">
      <alignment horizontal="center"/>
    </xf>
    <xf numFmtId="0" fontId="1" fillId="18" borderId="34" xfId="0" applyFont="1" applyFill="1" applyBorder="1" applyAlignment="1">
      <alignment horizontal="center"/>
    </xf>
    <xf numFmtId="0" fontId="10" fillId="18" borderId="34" xfId="0" applyFont="1" applyFill="1" applyBorder="1" applyAlignment="1">
      <alignment horizontal="center"/>
    </xf>
    <xf numFmtId="0" fontId="11" fillId="18" borderId="34" xfId="0" applyFont="1" applyFill="1" applyBorder="1" applyAlignment="1">
      <alignment horizontal="center"/>
    </xf>
    <xf numFmtId="2" fontId="3" fillId="18" borderId="34" xfId="0" applyNumberFormat="1" applyFont="1" applyFill="1" applyBorder="1" applyAlignment="1">
      <alignment horizontal="center"/>
    </xf>
    <xf numFmtId="0" fontId="3" fillId="18" borderId="34" xfId="0" applyFont="1" applyFill="1" applyBorder="1" applyAlignment="1">
      <alignment horizontal="center"/>
    </xf>
    <xf numFmtId="0" fontId="0" fillId="19" borderId="41" xfId="0" applyFill="1" applyBorder="1"/>
    <xf numFmtId="0" fontId="1" fillId="18" borderId="8" xfId="0" applyFont="1" applyFill="1" applyBorder="1" applyAlignment="1">
      <alignment horizontal="center"/>
    </xf>
    <xf numFmtId="0" fontId="1" fillId="18" borderId="43" xfId="0" applyFont="1" applyFill="1" applyBorder="1" applyAlignment="1">
      <alignment horizontal="center"/>
    </xf>
    <xf numFmtId="0" fontId="11" fillId="18" borderId="8" xfId="0" applyFont="1" applyFill="1" applyBorder="1" applyAlignment="1">
      <alignment horizontal="center"/>
    </xf>
    <xf numFmtId="2" fontId="3" fillId="18" borderId="8" xfId="0" applyNumberFormat="1" applyFont="1" applyFill="1" applyBorder="1" applyAlignment="1">
      <alignment horizontal="center"/>
    </xf>
    <xf numFmtId="0" fontId="3" fillId="18" borderId="8" xfId="0" applyFont="1" applyFill="1" applyBorder="1" applyAlignment="1">
      <alignment horizontal="center"/>
    </xf>
    <xf numFmtId="0" fontId="1" fillId="18" borderId="9" xfId="0" applyFont="1" applyFill="1" applyBorder="1" applyAlignment="1">
      <alignment horizontal="center"/>
    </xf>
    <xf numFmtId="0" fontId="11" fillId="18" borderId="9" xfId="0" applyFont="1" applyFill="1" applyBorder="1" applyAlignment="1">
      <alignment horizontal="center"/>
    </xf>
    <xf numFmtId="2" fontId="3" fillId="18" borderId="9" xfId="0" applyNumberFormat="1" applyFont="1" applyFill="1" applyBorder="1" applyAlignment="1">
      <alignment horizontal="center"/>
    </xf>
    <xf numFmtId="0" fontId="3" fillId="18" borderId="9" xfId="0" applyFont="1" applyFill="1" applyBorder="1" applyAlignment="1">
      <alignment horizontal="center"/>
    </xf>
    <xf numFmtId="0" fontId="12" fillId="18" borderId="9" xfId="0" applyFont="1" applyFill="1" applyBorder="1" applyAlignment="1">
      <alignment horizontal="center"/>
    </xf>
    <xf numFmtId="0" fontId="0" fillId="19" borderId="9" xfId="0" applyFill="1" applyBorder="1"/>
    <xf numFmtId="0" fontId="13" fillId="18" borderId="9" xfId="0" applyFont="1" applyFill="1" applyBorder="1" applyAlignment="1">
      <alignment horizontal="center"/>
    </xf>
    <xf numFmtId="0" fontId="1" fillId="20" borderId="33" xfId="0" applyFont="1" applyFill="1" applyBorder="1" applyAlignment="1">
      <alignment horizontal="center"/>
    </xf>
    <xf numFmtId="0" fontId="10" fillId="20" borderId="33" xfId="0" applyFont="1" applyFill="1" applyBorder="1" applyAlignment="1">
      <alignment horizontal="center"/>
    </xf>
    <xf numFmtId="166" fontId="4" fillId="6" borderId="35" xfId="0" applyNumberFormat="1" applyFont="1" applyFill="1" applyBorder="1" applyAlignment="1">
      <alignment horizontal="center"/>
    </xf>
    <xf numFmtId="2" fontId="3" fillId="20" borderId="33" xfId="0" applyNumberFormat="1" applyFont="1" applyFill="1" applyBorder="1" applyAlignment="1">
      <alignment horizontal="center"/>
    </xf>
    <xf numFmtId="0" fontId="3" fillId="20" borderId="33" xfId="0" applyFont="1" applyFill="1" applyBorder="1" applyAlignment="1">
      <alignment horizontal="center"/>
    </xf>
    <xf numFmtId="0" fontId="12" fillId="20" borderId="33" xfId="0" applyFont="1" applyFill="1" applyBorder="1" applyAlignment="1">
      <alignment horizontal="center"/>
    </xf>
    <xf numFmtId="0" fontId="1" fillId="20" borderId="2" xfId="0" applyFont="1" applyFill="1" applyBorder="1" applyAlignment="1">
      <alignment horizontal="center"/>
    </xf>
    <xf numFmtId="0" fontId="10" fillId="20" borderId="2" xfId="0" applyFont="1" applyFill="1" applyBorder="1" applyAlignment="1">
      <alignment horizontal="center"/>
    </xf>
    <xf numFmtId="166" fontId="5" fillId="6" borderId="11" xfId="0" applyNumberFormat="1" applyFont="1" applyFill="1" applyBorder="1" applyAlignment="1">
      <alignment horizontal="center"/>
    </xf>
    <xf numFmtId="2" fontId="3" fillId="20" borderId="2" xfId="0" applyNumberFormat="1" applyFont="1" applyFill="1" applyBorder="1" applyAlignment="1">
      <alignment horizontal="center"/>
    </xf>
    <xf numFmtId="0" fontId="3" fillId="20" borderId="2" xfId="0" applyFont="1" applyFill="1" applyBorder="1" applyAlignment="1">
      <alignment horizontal="center"/>
    </xf>
    <xf numFmtId="0" fontId="12" fillId="20" borderId="2" xfId="0" applyFont="1" applyFill="1" applyBorder="1" applyAlignment="1">
      <alignment horizontal="center"/>
    </xf>
    <xf numFmtId="166" fontId="5" fillId="6" borderId="6" xfId="0" applyNumberFormat="1" applyFont="1" applyFill="1" applyBorder="1" applyAlignment="1">
      <alignment horizontal="center"/>
    </xf>
    <xf numFmtId="0" fontId="13" fillId="20" borderId="2" xfId="0" applyFont="1" applyFill="1" applyBorder="1" applyAlignment="1">
      <alignment horizontal="center"/>
    </xf>
    <xf numFmtId="0" fontId="14" fillId="20" borderId="2" xfId="0" applyFont="1" applyFill="1" applyBorder="1" applyAlignment="1">
      <alignment horizontal="center"/>
    </xf>
    <xf numFmtId="2" fontId="15" fillId="20" borderId="2" xfId="0" applyNumberFormat="1" applyFont="1" applyFill="1" applyBorder="1" applyAlignment="1">
      <alignment horizontal="center"/>
    </xf>
    <xf numFmtId="0" fontId="15" fillId="20" borderId="2" xfId="0" applyFont="1" applyFill="1" applyBorder="1" applyAlignment="1">
      <alignment horizontal="center"/>
    </xf>
    <xf numFmtId="0" fontId="16" fillId="20" borderId="2" xfId="0" applyFont="1" applyFill="1" applyBorder="1" applyAlignment="1">
      <alignment horizontal="center"/>
    </xf>
    <xf numFmtId="0" fontId="11" fillId="20" borderId="2" xfId="0" applyFont="1" applyFill="1" applyBorder="1" applyAlignment="1">
      <alignment horizontal="center"/>
    </xf>
    <xf numFmtId="0" fontId="0" fillId="6" borderId="29" xfId="0" applyFill="1" applyBorder="1"/>
    <xf numFmtId="0" fontId="0" fillId="6" borderId="39" xfId="0" applyFill="1" applyBorder="1"/>
    <xf numFmtId="0" fontId="1" fillId="20" borderId="6" xfId="0" applyFont="1" applyFill="1" applyBorder="1" applyAlignment="1">
      <alignment horizontal="center"/>
    </xf>
    <xf numFmtId="0" fontId="10" fillId="20" borderId="6" xfId="0" applyFont="1" applyFill="1" applyBorder="1" applyAlignment="1">
      <alignment horizontal="center"/>
    </xf>
    <xf numFmtId="0" fontId="11" fillId="20" borderId="6" xfId="0" applyFont="1" applyFill="1" applyBorder="1" applyAlignment="1">
      <alignment horizontal="center"/>
    </xf>
    <xf numFmtId="2" fontId="3" fillId="20" borderId="6" xfId="0" applyNumberFormat="1" applyFont="1" applyFill="1" applyBorder="1" applyAlignment="1">
      <alignment horizontal="center"/>
    </xf>
    <xf numFmtId="0" fontId="3" fillId="20" borderId="6" xfId="0" applyFont="1" applyFill="1" applyBorder="1" applyAlignment="1">
      <alignment horizontal="center"/>
    </xf>
    <xf numFmtId="0" fontId="12" fillId="20" borderId="6" xfId="0" applyFont="1" applyFill="1" applyBorder="1" applyAlignment="1">
      <alignment horizontal="center"/>
    </xf>
    <xf numFmtId="0" fontId="11" fillId="20" borderId="33" xfId="0" applyFont="1" applyFill="1" applyBorder="1" applyAlignment="1">
      <alignment horizontal="center"/>
    </xf>
    <xf numFmtId="0" fontId="0" fillId="6" borderId="40" xfId="0" applyFill="1" applyBorder="1"/>
    <xf numFmtId="0" fontId="12" fillId="20" borderId="37" xfId="0" applyFont="1" applyFill="1" applyBorder="1" applyAlignment="1">
      <alignment horizontal="center"/>
    </xf>
    <xf numFmtId="0" fontId="12" fillId="20" borderId="38" xfId="0" applyFont="1" applyFill="1" applyBorder="1" applyAlignment="1">
      <alignment horizontal="center"/>
    </xf>
    <xf numFmtId="0" fontId="12" fillId="20" borderId="8" xfId="0" applyFont="1" applyFill="1" applyBorder="1" applyAlignment="1">
      <alignment horizontal="center"/>
    </xf>
    <xf numFmtId="0" fontId="1" fillId="20" borderId="34" xfId="0" applyFont="1" applyFill="1" applyBorder="1" applyAlignment="1">
      <alignment horizontal="center"/>
    </xf>
    <xf numFmtId="0" fontId="10" fillId="20" borderId="34" xfId="0" applyFont="1" applyFill="1" applyBorder="1" applyAlignment="1">
      <alignment horizontal="center"/>
    </xf>
    <xf numFmtId="0" fontId="11" fillId="20" borderId="34" xfId="0" applyFont="1" applyFill="1" applyBorder="1" applyAlignment="1">
      <alignment horizontal="center"/>
    </xf>
    <xf numFmtId="2" fontId="3" fillId="20" borderId="34" xfId="0" applyNumberFormat="1" applyFont="1" applyFill="1" applyBorder="1" applyAlignment="1">
      <alignment horizontal="center"/>
    </xf>
    <xf numFmtId="0" fontId="3" fillId="20" borderId="34" xfId="0" applyFont="1" applyFill="1" applyBorder="1" applyAlignment="1">
      <alignment horizontal="center"/>
    </xf>
    <xf numFmtId="0" fontId="0" fillId="6" borderId="41" xfId="0" applyFill="1" applyBorder="1"/>
    <xf numFmtId="0" fontId="1" fillId="20" borderId="8" xfId="0" applyFont="1" applyFill="1" applyBorder="1" applyAlignment="1">
      <alignment horizontal="center"/>
    </xf>
    <xf numFmtId="0" fontId="1" fillId="20" borderId="43" xfId="0" applyFont="1" applyFill="1" applyBorder="1" applyAlignment="1">
      <alignment horizontal="center"/>
    </xf>
    <xf numFmtId="0" fontId="11" fillId="20" borderId="8" xfId="0" applyFont="1" applyFill="1" applyBorder="1" applyAlignment="1">
      <alignment horizontal="center"/>
    </xf>
    <xf numFmtId="2" fontId="3" fillId="20" borderId="8" xfId="0" applyNumberFormat="1" applyFont="1" applyFill="1" applyBorder="1" applyAlignment="1">
      <alignment horizontal="center"/>
    </xf>
    <xf numFmtId="0" fontId="3" fillId="20" borderId="8" xfId="0" applyFont="1" applyFill="1" applyBorder="1" applyAlignment="1">
      <alignment horizontal="center"/>
    </xf>
    <xf numFmtId="0" fontId="1" fillId="20" borderId="9" xfId="0" applyFont="1" applyFill="1" applyBorder="1" applyAlignment="1">
      <alignment horizontal="center"/>
    </xf>
    <xf numFmtId="0" fontId="11" fillId="20" borderId="9" xfId="0" applyFont="1" applyFill="1" applyBorder="1" applyAlignment="1">
      <alignment horizontal="center"/>
    </xf>
    <xf numFmtId="2" fontId="3" fillId="20" borderId="9" xfId="0" applyNumberFormat="1" applyFont="1" applyFill="1" applyBorder="1" applyAlignment="1">
      <alignment horizontal="center"/>
    </xf>
    <xf numFmtId="0" fontId="3" fillId="20" borderId="9" xfId="0" applyFont="1" applyFill="1" applyBorder="1" applyAlignment="1">
      <alignment horizontal="center"/>
    </xf>
    <xf numFmtId="0" fontId="12" fillId="20" borderId="9" xfId="0" applyFont="1" applyFill="1" applyBorder="1" applyAlignment="1">
      <alignment horizontal="center"/>
    </xf>
    <xf numFmtId="0" fontId="13" fillId="20" borderId="9" xfId="0" applyFont="1" applyFill="1" applyBorder="1" applyAlignment="1">
      <alignment horizontal="center"/>
    </xf>
    <xf numFmtId="2" fontId="20" fillId="21" borderId="2" xfId="0" applyNumberFormat="1" applyFont="1" applyFill="1" applyBorder="1" applyAlignment="1">
      <alignment horizontal="center"/>
    </xf>
    <xf numFmtId="167" fontId="3" fillId="20" borderId="8" xfId="0" applyNumberFormat="1" applyFont="1" applyFill="1" applyBorder="1" applyAlignment="1">
      <alignment horizontal="center"/>
    </xf>
    <xf numFmtId="167" fontId="3" fillId="20" borderId="2" xfId="0" applyNumberFormat="1" applyFont="1" applyFill="1" applyBorder="1" applyAlignment="1">
      <alignment horizontal="center"/>
    </xf>
    <xf numFmtId="166" fontId="5" fillId="0" borderId="45" xfId="0" applyNumberFormat="1" applyFont="1" applyBorder="1" applyAlignment="1">
      <alignment horizontal="center"/>
    </xf>
    <xf numFmtId="166" fontId="5" fillId="0" borderId="37" xfId="0" applyNumberFormat="1" applyFont="1" applyBorder="1" applyAlignment="1">
      <alignment horizontal="center"/>
    </xf>
    <xf numFmtId="167" fontId="11" fillId="20" borderId="2" xfId="0" applyNumberFormat="1" applyFont="1" applyFill="1" applyBorder="1" applyAlignment="1">
      <alignment horizontal="center"/>
    </xf>
    <xf numFmtId="167" fontId="11" fillId="16" borderId="2" xfId="0" applyNumberFormat="1" applyFont="1" applyFill="1" applyBorder="1" applyAlignment="1">
      <alignment horizontal="center"/>
    </xf>
    <xf numFmtId="167" fontId="11" fillId="12" borderId="9" xfId="0" applyNumberFormat="1" applyFont="1" applyFill="1" applyBorder="1" applyAlignment="1">
      <alignment horizontal="center"/>
    </xf>
    <xf numFmtId="167" fontId="11" fillId="16" borderId="9" xfId="0" applyNumberFormat="1" applyFont="1" applyFill="1" applyBorder="1" applyAlignment="1">
      <alignment horizontal="center"/>
    </xf>
    <xf numFmtId="0" fontId="0" fillId="0" borderId="18" xfId="0" applyBorder="1"/>
    <xf numFmtId="167" fontId="11" fillId="14" borderId="6" xfId="0" applyNumberFormat="1" applyFont="1" applyFill="1" applyBorder="1" applyAlignment="1">
      <alignment horizontal="center"/>
    </xf>
    <xf numFmtId="0" fontId="11" fillId="20" borderId="3" xfId="0" applyFont="1" applyFill="1" applyBorder="1" applyAlignment="1">
      <alignment horizontal="center"/>
    </xf>
    <xf numFmtId="166" fontId="5" fillId="0" borderId="41" xfId="0" applyNumberFormat="1" applyFont="1" applyBorder="1" applyAlignment="1">
      <alignment horizontal="center"/>
    </xf>
    <xf numFmtId="0" fontId="0" fillId="15" borderId="40" xfId="0" applyFill="1" applyBorder="1"/>
    <xf numFmtId="167" fontId="11" fillId="16" borderId="33" xfId="0" applyNumberFormat="1" applyFont="1" applyFill="1" applyBorder="1" applyAlignment="1">
      <alignment horizontal="center"/>
    </xf>
    <xf numFmtId="167" fontId="11" fillId="18" borderId="33" xfId="0" applyNumberFormat="1" applyFont="1" applyFill="1" applyBorder="1" applyAlignment="1">
      <alignment horizontal="center"/>
    </xf>
    <xf numFmtId="166" fontId="5" fillId="22" borderId="9" xfId="0" applyNumberFormat="1" applyFont="1" applyFill="1" applyBorder="1" applyAlignment="1">
      <alignment horizontal="center"/>
    </xf>
    <xf numFmtId="166" fontId="5" fillId="22" borderId="14" xfId="0" applyNumberFormat="1" applyFont="1" applyFill="1" applyBorder="1" applyAlignment="1">
      <alignment horizontal="center"/>
    </xf>
    <xf numFmtId="0" fontId="0" fillId="13" borderId="40" xfId="0" applyFill="1" applyBorder="1"/>
    <xf numFmtId="167" fontId="11" fillId="12" borderId="2" xfId="0" applyNumberFormat="1" applyFont="1" applyFill="1" applyBorder="1" applyAlignment="1">
      <alignment horizontal="center"/>
    </xf>
    <xf numFmtId="2" fontId="1" fillId="16" borderId="9" xfId="0" applyNumberFormat="1" applyFont="1" applyFill="1" applyBorder="1" applyAlignment="1">
      <alignment horizontal="center"/>
    </xf>
    <xf numFmtId="166" fontId="4" fillId="0" borderId="9" xfId="0" applyNumberFormat="1" applyFont="1" applyBorder="1" applyAlignment="1">
      <alignment horizontal="center" vertical="center"/>
    </xf>
    <xf numFmtId="167" fontId="11" fillId="14" borderId="2" xfId="0" applyNumberFormat="1" applyFont="1" applyFill="1" applyBorder="1" applyAlignment="1">
      <alignment horizontal="center"/>
    </xf>
    <xf numFmtId="4" fontId="5" fillId="23" borderId="15" xfId="0" applyNumberFormat="1" applyFont="1" applyFill="1" applyBorder="1" applyAlignment="1">
      <alignment horizontal="center"/>
    </xf>
    <xf numFmtId="167" fontId="11" fillId="12" borderId="6" xfId="0" applyNumberFormat="1" applyFont="1" applyFill="1" applyBorder="1" applyAlignment="1">
      <alignment horizontal="center"/>
    </xf>
    <xf numFmtId="167" fontId="11" fillId="14" borderId="9" xfId="0" applyNumberFormat="1" applyFont="1" applyFill="1" applyBorder="1" applyAlignment="1">
      <alignment horizontal="center"/>
    </xf>
    <xf numFmtId="167" fontId="11" fillId="18" borderId="9" xfId="0" applyNumberFormat="1" applyFont="1" applyFill="1" applyBorder="1" applyAlignment="1">
      <alignment horizontal="center"/>
    </xf>
    <xf numFmtId="166" fontId="5" fillId="22" borderId="25" xfId="0" applyNumberFormat="1" applyFont="1" applyFill="1" applyBorder="1" applyAlignment="1">
      <alignment horizontal="center"/>
    </xf>
    <xf numFmtId="166" fontId="5" fillId="22" borderId="28" xfId="0" applyNumberFormat="1" applyFont="1" applyFill="1" applyBorder="1" applyAlignment="1">
      <alignment horizontal="center"/>
    </xf>
    <xf numFmtId="166" fontId="5" fillId="22" borderId="12" xfId="0" applyNumberFormat="1" applyFont="1" applyFill="1" applyBorder="1" applyAlignment="1">
      <alignment horizontal="center"/>
    </xf>
    <xf numFmtId="4" fontId="5" fillId="23" borderId="14" xfId="0" applyNumberFormat="1" applyFont="1" applyFill="1" applyBorder="1" applyAlignment="1">
      <alignment horizontal="center"/>
    </xf>
    <xf numFmtId="166" fontId="5" fillId="23" borderId="15" xfId="0" applyNumberFormat="1" applyFont="1" applyFill="1" applyBorder="1" applyAlignment="1">
      <alignment horizontal="center"/>
    </xf>
    <xf numFmtId="0" fontId="12" fillId="14" borderId="43" xfId="0" applyFont="1" applyFill="1" applyBorder="1" applyAlignment="1">
      <alignment horizontal="center"/>
    </xf>
    <xf numFmtId="0" fontId="0" fillId="15" borderId="46" xfId="0" applyFill="1" applyBorder="1"/>
    <xf numFmtId="0" fontId="1" fillId="14" borderId="14" xfId="0" applyFont="1" applyFill="1" applyBorder="1" applyAlignment="1">
      <alignment horizontal="center"/>
    </xf>
    <xf numFmtId="0" fontId="11" fillId="14" borderId="14" xfId="0" applyFont="1" applyFill="1" applyBorder="1" applyAlignment="1">
      <alignment horizontal="center"/>
    </xf>
    <xf numFmtId="2" fontId="3" fillId="14" borderId="14" xfId="0" applyNumberFormat="1" applyFont="1" applyFill="1" applyBorder="1" applyAlignment="1">
      <alignment horizontal="center"/>
    </xf>
    <xf numFmtId="0" fontId="3" fillId="14" borderId="14" xfId="0" applyFont="1" applyFill="1" applyBorder="1" applyAlignment="1">
      <alignment horizontal="center"/>
    </xf>
    <xf numFmtId="0" fontId="12" fillId="14" borderId="14" xfId="0" applyFont="1" applyFill="1" applyBorder="1" applyAlignment="1">
      <alignment horizontal="center"/>
    </xf>
    <xf numFmtId="0" fontId="0" fillId="15" borderId="14" xfId="0" applyFill="1" applyBorder="1"/>
    <xf numFmtId="0" fontId="12" fillId="16" borderId="43" xfId="0" applyFont="1" applyFill="1" applyBorder="1" applyAlignment="1">
      <alignment horizontal="center"/>
    </xf>
    <xf numFmtId="0" fontId="0" fillId="17" borderId="46" xfId="0" applyFill="1" applyBorder="1"/>
    <xf numFmtId="0" fontId="1" fillId="16" borderId="3" xfId="0" applyFont="1" applyFill="1" applyBorder="1" applyAlignment="1">
      <alignment horizontal="center"/>
    </xf>
    <xf numFmtId="2" fontId="3" fillId="16" borderId="3" xfId="0" applyNumberFormat="1" applyFont="1" applyFill="1" applyBorder="1" applyAlignment="1">
      <alignment horizontal="center"/>
    </xf>
    <xf numFmtId="0" fontId="3" fillId="16" borderId="3" xfId="0" applyFont="1" applyFill="1" applyBorder="1" applyAlignment="1">
      <alignment horizontal="center"/>
    </xf>
    <xf numFmtId="0" fontId="12" fillId="16" borderId="3" xfId="0" applyFont="1" applyFill="1" applyBorder="1" applyAlignment="1">
      <alignment horizontal="center"/>
    </xf>
    <xf numFmtId="0" fontId="0" fillId="17" borderId="14" xfId="0" applyFill="1" applyBorder="1"/>
    <xf numFmtId="0" fontId="12" fillId="16" borderId="44" xfId="0" applyFont="1" applyFill="1" applyBorder="1" applyAlignment="1">
      <alignment horizontal="center"/>
    </xf>
    <xf numFmtId="0" fontId="12" fillId="16" borderId="47" xfId="0" applyFont="1" applyFill="1" applyBorder="1" applyAlignment="1">
      <alignment horizontal="center"/>
    </xf>
    <xf numFmtId="0" fontId="12" fillId="18" borderId="44" xfId="0" applyFont="1" applyFill="1" applyBorder="1" applyAlignment="1">
      <alignment horizontal="center"/>
    </xf>
    <xf numFmtId="0" fontId="12" fillId="18" borderId="47" xfId="0" applyFont="1" applyFill="1" applyBorder="1" applyAlignment="1">
      <alignment horizontal="center"/>
    </xf>
    <xf numFmtId="0" fontId="12" fillId="20" borderId="44" xfId="0" applyFont="1" applyFill="1" applyBorder="1" applyAlignment="1">
      <alignment horizontal="center"/>
    </xf>
    <xf numFmtId="0" fontId="12" fillId="20" borderId="47" xfId="0" applyFont="1" applyFill="1" applyBorder="1" applyAlignment="1">
      <alignment horizontal="center"/>
    </xf>
    <xf numFmtId="0" fontId="1" fillId="12" borderId="3" xfId="0" applyFont="1" applyFill="1" applyBorder="1" applyAlignment="1">
      <alignment horizontal="center"/>
    </xf>
    <xf numFmtId="2" fontId="3" fillId="12" borderId="3" xfId="0" applyNumberFormat="1" applyFont="1" applyFill="1" applyBorder="1" applyAlignment="1">
      <alignment horizontal="center"/>
    </xf>
    <xf numFmtId="0" fontId="3" fillId="12" borderId="3" xfId="0" applyFont="1" applyFill="1" applyBorder="1" applyAlignment="1">
      <alignment horizontal="center"/>
    </xf>
    <xf numFmtId="0" fontId="12" fillId="12" borderId="3" xfId="0" applyFont="1" applyFill="1" applyBorder="1" applyAlignment="1">
      <alignment horizontal="center"/>
    </xf>
    <xf numFmtId="0" fontId="12" fillId="12" borderId="44" xfId="0" applyFont="1" applyFill="1" applyBorder="1" applyAlignment="1">
      <alignment horizontal="center"/>
    </xf>
    <xf numFmtId="0" fontId="12" fillId="12" borderId="47" xfId="0" applyFont="1" applyFill="1" applyBorder="1" applyAlignment="1">
      <alignment horizontal="center"/>
    </xf>
    <xf numFmtId="165" fontId="2" fillId="0" borderId="0" xfId="0" applyNumberFormat="1" applyFont="1" applyAlignment="1">
      <alignment horizontal="center"/>
    </xf>
    <xf numFmtId="4" fontId="5" fillId="0" borderId="0" xfId="0" applyNumberFormat="1" applyFont="1" applyAlignment="1">
      <alignment horizontal="center"/>
    </xf>
    <xf numFmtId="0" fontId="0" fillId="0" borderId="48" xfId="0" applyBorder="1"/>
    <xf numFmtId="166" fontId="5" fillId="23" borderId="28" xfId="0" applyNumberFormat="1" applyFont="1" applyFill="1" applyBorder="1" applyAlignment="1">
      <alignment horizontal="center"/>
    </xf>
    <xf numFmtId="166" fontId="5" fillId="23" borderId="25" xfId="0" applyNumberFormat="1" applyFont="1" applyFill="1" applyBorder="1" applyAlignment="1">
      <alignment horizontal="center"/>
    </xf>
    <xf numFmtId="166" fontId="5" fillId="23" borderId="14" xfId="0" applyNumberFormat="1" applyFont="1" applyFill="1" applyBorder="1" applyAlignment="1">
      <alignment horizontal="center"/>
    </xf>
    <xf numFmtId="167" fontId="11" fillId="16" borderId="6" xfId="0" applyNumberFormat="1" applyFont="1" applyFill="1" applyBorder="1" applyAlignment="1">
      <alignment horizontal="center"/>
    </xf>
    <xf numFmtId="167" fontId="11" fillId="18" borderId="6" xfId="0" applyNumberFormat="1" applyFont="1" applyFill="1" applyBorder="1" applyAlignment="1">
      <alignment horizontal="center"/>
    </xf>
    <xf numFmtId="167" fontId="11" fillId="20" borderId="6" xfId="0" applyNumberFormat="1" applyFont="1" applyFill="1" applyBorder="1" applyAlignment="1">
      <alignment horizontal="center"/>
    </xf>
    <xf numFmtId="166" fontId="4" fillId="9" borderId="9" xfId="0" applyNumberFormat="1" applyFont="1" applyFill="1" applyBorder="1" applyAlignment="1">
      <alignment horizontal="center" vertical="center"/>
    </xf>
    <xf numFmtId="0" fontId="21" fillId="12" borderId="33" xfId="0" applyFont="1" applyFill="1" applyBorder="1" applyAlignment="1">
      <alignment horizontal="center"/>
    </xf>
    <xf numFmtId="0" fontId="21" fillId="12" borderId="2" xfId="0" applyFont="1" applyFill="1" applyBorder="1" applyAlignment="1">
      <alignment horizontal="center"/>
    </xf>
    <xf numFmtId="0" fontId="21" fillId="13" borderId="39" xfId="0" applyFont="1" applyFill="1" applyBorder="1"/>
    <xf numFmtId="0" fontId="21" fillId="13" borderId="40" xfId="0" applyFont="1" applyFill="1" applyBorder="1"/>
    <xf numFmtId="0" fontId="21" fillId="13" borderId="41" xfId="0" applyFont="1" applyFill="1" applyBorder="1"/>
    <xf numFmtId="167" fontId="11" fillId="14" borderId="34" xfId="0" applyNumberFormat="1" applyFont="1" applyFill="1" applyBorder="1" applyAlignment="1">
      <alignment horizontal="center"/>
    </xf>
    <xf numFmtId="167" fontId="11" fillId="18" borderId="34" xfId="0" applyNumberFormat="1" applyFont="1" applyFill="1" applyBorder="1" applyAlignment="1">
      <alignment horizontal="center"/>
    </xf>
    <xf numFmtId="166" fontId="5" fillId="0" borderId="49" xfId="0" applyNumberFormat="1" applyFont="1" applyBorder="1" applyAlignment="1">
      <alignment horizontal="center"/>
    </xf>
    <xf numFmtId="166" fontId="5" fillId="0" borderId="50" xfId="0" applyNumberFormat="1" applyFont="1" applyBorder="1" applyAlignment="1">
      <alignment horizontal="center"/>
    </xf>
    <xf numFmtId="0" fontId="0" fillId="13" borderId="41" xfId="0" applyFill="1" applyBorder="1"/>
    <xf numFmtId="0" fontId="1" fillId="16" borderId="16" xfId="0" applyFont="1" applyFill="1" applyBorder="1" applyAlignment="1">
      <alignment horizontal="center"/>
    </xf>
    <xf numFmtId="0" fontId="10" fillId="16" borderId="16" xfId="0" applyFont="1" applyFill="1" applyBorder="1" applyAlignment="1">
      <alignment horizontal="center"/>
    </xf>
    <xf numFmtId="0" fontId="11" fillId="16" borderId="16" xfId="0" applyFont="1" applyFill="1" applyBorder="1" applyAlignment="1">
      <alignment horizontal="center"/>
    </xf>
    <xf numFmtId="2" fontId="3" fillId="16" borderId="16" xfId="0" applyNumberFormat="1" applyFont="1" applyFill="1" applyBorder="1" applyAlignment="1">
      <alignment horizontal="center"/>
    </xf>
    <xf numFmtId="0" fontId="3" fillId="16" borderId="16" xfId="0" applyFont="1" applyFill="1" applyBorder="1" applyAlignment="1">
      <alignment horizontal="center"/>
    </xf>
    <xf numFmtId="0" fontId="12" fillId="16" borderId="16" xfId="0" applyFont="1" applyFill="1" applyBorder="1" applyAlignment="1">
      <alignment horizontal="center"/>
    </xf>
    <xf numFmtId="0" fontId="0" fillId="17" borderId="16" xfId="0" applyFill="1" applyBorder="1"/>
    <xf numFmtId="0" fontId="1" fillId="0" borderId="14" xfId="0" applyFont="1" applyBorder="1" applyAlignment="1">
      <alignment horizontal="center"/>
    </xf>
    <xf numFmtId="0" fontId="1" fillId="17" borderId="14" xfId="0" applyFont="1" applyFill="1" applyBorder="1" applyAlignment="1">
      <alignment horizontal="center"/>
    </xf>
    <xf numFmtId="0" fontId="10" fillId="17" borderId="14" xfId="0" applyFont="1" applyFill="1" applyBorder="1" applyAlignment="1">
      <alignment horizontal="center"/>
    </xf>
    <xf numFmtId="0" fontId="11" fillId="17" borderId="14" xfId="0" applyFont="1" applyFill="1" applyBorder="1" applyAlignment="1">
      <alignment horizontal="center"/>
    </xf>
    <xf numFmtId="2" fontId="3" fillId="17" borderId="14" xfId="0" applyNumberFormat="1" applyFont="1" applyFill="1" applyBorder="1" applyAlignment="1">
      <alignment horizontal="center"/>
    </xf>
    <xf numFmtId="0" fontId="3" fillId="17" borderId="14" xfId="0" applyFont="1" applyFill="1" applyBorder="1" applyAlignment="1">
      <alignment horizontal="center"/>
    </xf>
    <xf numFmtId="0" fontId="12" fillId="17" borderId="14" xfId="0" applyFont="1" applyFill="1" applyBorder="1" applyAlignment="1">
      <alignment horizontal="center"/>
    </xf>
    <xf numFmtId="0" fontId="22" fillId="0" borderId="0" xfId="0" applyFont="1"/>
    <xf numFmtId="0" fontId="10" fillId="16" borderId="51" xfId="0" applyFont="1" applyFill="1" applyBorder="1" applyAlignment="1">
      <alignment horizontal="center"/>
    </xf>
    <xf numFmtId="2" fontId="3" fillId="16" borderId="52" xfId="0" applyNumberFormat="1" applyFont="1" applyFill="1" applyBorder="1" applyAlignment="1">
      <alignment horizontal="center"/>
    </xf>
    <xf numFmtId="166" fontId="5" fillId="17" borderId="35" xfId="0" applyNumberFormat="1" applyFont="1" applyFill="1" applyBorder="1" applyAlignment="1">
      <alignment horizontal="center"/>
    </xf>
    <xf numFmtId="166" fontId="4" fillId="17" borderId="9" xfId="0" applyNumberFormat="1" applyFont="1" applyFill="1" applyBorder="1" applyAlignment="1">
      <alignment horizontal="center"/>
    </xf>
    <xf numFmtId="0" fontId="1" fillId="14" borderId="16" xfId="0" applyFont="1" applyFill="1" applyBorder="1" applyAlignment="1">
      <alignment horizontal="center"/>
    </xf>
    <xf numFmtId="167" fontId="11" fillId="14" borderId="16" xfId="0" applyNumberFormat="1" applyFont="1" applyFill="1" applyBorder="1" applyAlignment="1">
      <alignment horizontal="center"/>
    </xf>
    <xf numFmtId="2" fontId="3" fillId="14" borderId="16" xfId="0" applyNumberFormat="1" applyFont="1" applyFill="1" applyBorder="1" applyAlignment="1">
      <alignment horizontal="center"/>
    </xf>
    <xf numFmtId="0" fontId="3" fillId="14" borderId="16" xfId="0" applyFont="1" applyFill="1" applyBorder="1" applyAlignment="1">
      <alignment horizontal="center"/>
    </xf>
    <xf numFmtId="0" fontId="12" fillId="14" borderId="16" xfId="0" applyFont="1" applyFill="1" applyBorder="1" applyAlignment="1">
      <alignment horizontal="center"/>
    </xf>
    <xf numFmtId="0" fontId="0" fillId="15" borderId="16" xfId="0" applyFill="1" applyBorder="1"/>
    <xf numFmtId="2" fontId="3" fillId="18" borderId="52" xfId="0" applyNumberFormat="1" applyFont="1" applyFill="1" applyBorder="1" applyAlignment="1">
      <alignment horizontal="center"/>
    </xf>
    <xf numFmtId="166" fontId="5" fillId="19" borderId="35" xfId="0" applyNumberFormat="1" applyFont="1" applyFill="1" applyBorder="1" applyAlignment="1">
      <alignment horizontal="center"/>
    </xf>
    <xf numFmtId="166" fontId="4" fillId="19" borderId="9" xfId="0" applyNumberFormat="1" applyFont="1" applyFill="1" applyBorder="1" applyAlignment="1">
      <alignment horizontal="center"/>
    </xf>
    <xf numFmtId="0" fontId="10" fillId="20" borderId="51" xfId="0" applyFont="1" applyFill="1" applyBorder="1" applyAlignment="1">
      <alignment horizontal="center"/>
    </xf>
    <xf numFmtId="2" fontId="3" fillId="20" borderId="52" xfId="0" applyNumberFormat="1" applyFont="1" applyFill="1" applyBorder="1" applyAlignment="1">
      <alignment horizontal="center"/>
    </xf>
    <xf numFmtId="166" fontId="5" fillId="6" borderId="35" xfId="0" applyNumberFormat="1" applyFont="1" applyFill="1" applyBorder="1" applyAlignment="1">
      <alignment horizontal="center"/>
    </xf>
    <xf numFmtId="166" fontId="4" fillId="6" borderId="9" xfId="0" applyNumberFormat="1" applyFont="1" applyFill="1" applyBorder="1" applyAlignment="1">
      <alignment horizontal="center"/>
    </xf>
    <xf numFmtId="0" fontId="10" fillId="14" borderId="51" xfId="0" applyFont="1" applyFill="1" applyBorder="1" applyAlignment="1">
      <alignment horizontal="center"/>
    </xf>
    <xf numFmtId="2" fontId="3" fillId="14" borderId="52" xfId="0" applyNumberFormat="1" applyFont="1" applyFill="1" applyBorder="1" applyAlignment="1">
      <alignment horizontal="center"/>
    </xf>
    <xf numFmtId="166" fontId="5" fillId="15" borderId="35" xfId="0" applyNumberFormat="1" applyFont="1" applyFill="1" applyBorder="1" applyAlignment="1">
      <alignment horizontal="center"/>
    </xf>
    <xf numFmtId="166" fontId="4" fillId="15" borderId="9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BE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28C28-3E79-7943-B1FE-B4D425630378}">
  <dimension ref="A1:AF1048576"/>
  <sheetViews>
    <sheetView topLeftCell="F6" zoomScale="75" zoomScaleNormal="115" workbookViewId="0">
      <selection activeCell="AF31" sqref="AF31"/>
    </sheetView>
  </sheetViews>
  <sheetFormatPr baseColWidth="10" defaultRowHeight="16" x14ac:dyDescent="0.2"/>
  <sheetData>
    <row r="1" spans="1:32" x14ac:dyDescent="0.2">
      <c r="A1" s="103" t="s">
        <v>6</v>
      </c>
      <c r="B1" s="101"/>
      <c r="C1" s="1" t="s">
        <v>7</v>
      </c>
      <c r="D1" s="80">
        <v>46041</v>
      </c>
      <c r="E1" s="81">
        <v>46043</v>
      </c>
      <c r="F1" s="81">
        <v>46045</v>
      </c>
      <c r="G1" s="81">
        <v>46048</v>
      </c>
      <c r="H1" s="81">
        <v>46050</v>
      </c>
      <c r="I1" s="82">
        <v>46052</v>
      </c>
      <c r="J1" s="2">
        <v>46055</v>
      </c>
      <c r="K1" s="9">
        <v>46059</v>
      </c>
      <c r="L1" s="9">
        <v>46062</v>
      </c>
      <c r="M1" s="79">
        <v>46064</v>
      </c>
      <c r="N1" s="79">
        <v>46066</v>
      </c>
      <c r="O1" s="79">
        <v>46069</v>
      </c>
      <c r="P1" s="98">
        <v>46071</v>
      </c>
      <c r="Q1" s="99">
        <v>46073</v>
      </c>
      <c r="R1" s="10">
        <v>46076</v>
      </c>
      <c r="S1" s="10">
        <v>46078</v>
      </c>
      <c r="T1" s="10">
        <v>46080</v>
      </c>
      <c r="U1" s="104">
        <v>46083</v>
      </c>
      <c r="V1" s="104">
        <v>46085</v>
      </c>
      <c r="W1" s="104">
        <v>46087</v>
      </c>
      <c r="X1" s="78">
        <v>46090</v>
      </c>
      <c r="Y1" s="78">
        <v>46092</v>
      </c>
      <c r="Z1" s="78">
        <v>46094</v>
      </c>
      <c r="AA1" s="99">
        <v>46097</v>
      </c>
      <c r="AB1" s="99">
        <v>46099</v>
      </c>
      <c r="AC1" s="99">
        <v>46101</v>
      </c>
      <c r="AD1" s="10">
        <v>46104</v>
      </c>
      <c r="AE1" s="445"/>
      <c r="AF1" s="445"/>
    </row>
    <row r="2" spans="1:32" x14ac:dyDescent="0.2">
      <c r="A2" s="102" t="s">
        <v>8</v>
      </c>
      <c r="B2" s="11">
        <v>1</v>
      </c>
      <c r="C2" s="12" t="s">
        <v>0</v>
      </c>
      <c r="D2" s="83">
        <v>20</v>
      </c>
      <c r="E2" s="84">
        <v>15.6</v>
      </c>
      <c r="F2" s="84">
        <v>15.6</v>
      </c>
      <c r="G2" s="84">
        <v>19.2</v>
      </c>
      <c r="H2" s="84">
        <v>18.899999999999999</v>
      </c>
      <c r="I2" s="84">
        <v>19.8</v>
      </c>
      <c r="J2" s="114">
        <v>20.7</v>
      </c>
      <c r="K2" s="105">
        <v>21.8</v>
      </c>
      <c r="L2" s="105">
        <v>22.1</v>
      </c>
      <c r="M2" s="105">
        <v>22.5</v>
      </c>
      <c r="N2" s="105">
        <v>22.8</v>
      </c>
      <c r="O2" s="105">
        <v>22.9</v>
      </c>
      <c r="P2" s="106">
        <v>23.2</v>
      </c>
      <c r="Q2" s="106">
        <v>23.5</v>
      </c>
      <c r="R2" s="105">
        <v>23</v>
      </c>
      <c r="S2" s="105">
        <v>22.1</v>
      </c>
      <c r="T2" s="105">
        <v>23</v>
      </c>
      <c r="U2" s="106">
        <v>23.5</v>
      </c>
      <c r="V2" s="106">
        <v>24.4</v>
      </c>
      <c r="W2" s="106">
        <v>23.8</v>
      </c>
      <c r="X2" s="105">
        <v>23.1</v>
      </c>
      <c r="Y2" s="105">
        <v>23.1</v>
      </c>
      <c r="Z2" s="105">
        <v>23.6</v>
      </c>
      <c r="AA2" s="106">
        <v>24.2</v>
      </c>
      <c r="AB2" s="106">
        <v>24.2</v>
      </c>
      <c r="AC2" s="106">
        <v>23.8</v>
      </c>
      <c r="AD2" s="105">
        <v>23.6</v>
      </c>
      <c r="AE2" s="446"/>
      <c r="AF2" s="446"/>
    </row>
    <row r="3" spans="1:32" x14ac:dyDescent="0.2">
      <c r="A3" s="48"/>
      <c r="B3" s="49">
        <v>2</v>
      </c>
      <c r="C3" s="50" t="s">
        <v>1</v>
      </c>
      <c r="D3" s="85">
        <v>21.6</v>
      </c>
      <c r="E3" s="86">
        <v>18.399999999999999</v>
      </c>
      <c r="F3" s="86">
        <v>20.3</v>
      </c>
      <c r="G3" s="86">
        <v>23</v>
      </c>
      <c r="H3" s="86">
        <v>22.9</v>
      </c>
      <c r="I3" s="86">
        <v>22.9</v>
      </c>
      <c r="J3" s="107">
        <v>23.7</v>
      </c>
      <c r="K3" s="107">
        <v>24.3</v>
      </c>
      <c r="L3" s="107">
        <v>24.4</v>
      </c>
      <c r="M3" s="107">
        <v>24.3</v>
      </c>
      <c r="N3" s="107">
        <v>23.5</v>
      </c>
      <c r="O3" s="107">
        <v>24.2</v>
      </c>
      <c r="P3" s="86">
        <v>24.1</v>
      </c>
      <c r="Q3" s="86">
        <v>24.2</v>
      </c>
      <c r="R3" s="107">
        <v>23.8</v>
      </c>
      <c r="S3" s="107">
        <v>24.5</v>
      </c>
      <c r="T3" s="107">
        <v>23.9</v>
      </c>
      <c r="U3" s="86">
        <v>25</v>
      </c>
      <c r="V3" s="86">
        <v>25.5</v>
      </c>
      <c r="W3" s="86">
        <v>25</v>
      </c>
      <c r="X3" s="107">
        <v>24.4</v>
      </c>
      <c r="Y3" s="107">
        <v>24.1</v>
      </c>
      <c r="Z3" s="107">
        <v>24.6</v>
      </c>
      <c r="AA3" s="86">
        <v>24.8</v>
      </c>
      <c r="AB3" s="86">
        <v>25.1</v>
      </c>
      <c r="AC3" s="86">
        <v>25</v>
      </c>
      <c r="AD3" s="107">
        <v>24.8</v>
      </c>
      <c r="AE3" s="446"/>
      <c r="AF3" s="446"/>
    </row>
    <row r="4" spans="1:32" ht="17" thickBot="1" x14ac:dyDescent="0.25">
      <c r="A4" s="17"/>
      <c r="B4" s="16">
        <v>3</v>
      </c>
      <c r="C4" s="52" t="s">
        <v>2</v>
      </c>
      <c r="D4" s="87">
        <v>19.399999999999999</v>
      </c>
      <c r="E4" s="88">
        <v>17.5</v>
      </c>
      <c r="F4" s="88">
        <v>17.5</v>
      </c>
      <c r="G4" s="88">
        <v>20.5</v>
      </c>
      <c r="H4" s="88">
        <v>20.8</v>
      </c>
      <c r="I4" s="88">
        <v>21.4</v>
      </c>
      <c r="J4" s="108">
        <v>22</v>
      </c>
      <c r="K4" s="108">
        <v>22.4</v>
      </c>
      <c r="L4" s="108">
        <v>22.5</v>
      </c>
      <c r="M4" s="108">
        <v>22.4</v>
      </c>
      <c r="N4" s="108">
        <v>23</v>
      </c>
      <c r="O4" s="108">
        <v>22.4</v>
      </c>
      <c r="P4" s="88">
        <v>22.2</v>
      </c>
      <c r="Q4" s="88">
        <v>22.2</v>
      </c>
      <c r="R4" s="108">
        <v>22.5</v>
      </c>
      <c r="S4" s="108">
        <v>23.2</v>
      </c>
      <c r="T4" s="108">
        <v>23.2</v>
      </c>
      <c r="U4" s="88">
        <v>23.2</v>
      </c>
      <c r="V4" s="88">
        <v>24.6</v>
      </c>
      <c r="W4" s="88">
        <v>24</v>
      </c>
      <c r="X4" s="108">
        <v>24.2</v>
      </c>
      <c r="Y4" s="108">
        <v>23.7</v>
      </c>
      <c r="Z4" s="108">
        <v>24.9</v>
      </c>
      <c r="AA4" s="88">
        <v>24.5</v>
      </c>
      <c r="AB4" s="88">
        <v>25.4</v>
      </c>
      <c r="AC4" s="88">
        <v>24.9</v>
      </c>
      <c r="AD4" s="108">
        <v>25.1</v>
      </c>
      <c r="AE4" s="446"/>
      <c r="AF4" s="446"/>
    </row>
    <row r="5" spans="1:32" x14ac:dyDescent="0.2">
      <c r="A5" s="4" t="s">
        <v>3</v>
      </c>
      <c r="B5" s="5">
        <v>4</v>
      </c>
      <c r="C5" s="6" t="s">
        <v>0</v>
      </c>
      <c r="D5" s="89">
        <v>15.1</v>
      </c>
      <c r="E5" s="90">
        <v>13.5</v>
      </c>
      <c r="F5" s="90">
        <v>13.3</v>
      </c>
      <c r="G5" s="90">
        <v>14.8</v>
      </c>
      <c r="H5" s="90">
        <v>16.8</v>
      </c>
      <c r="I5" s="90">
        <v>16.5</v>
      </c>
      <c r="J5" s="115">
        <v>18.2</v>
      </c>
      <c r="K5" s="109">
        <v>18.899999999999999</v>
      </c>
      <c r="L5" s="109">
        <v>18.100000000000001</v>
      </c>
      <c r="M5" s="109">
        <v>18.600000000000001</v>
      </c>
      <c r="N5" s="109">
        <v>18.2</v>
      </c>
      <c r="O5" s="109">
        <v>18.5</v>
      </c>
      <c r="P5" s="93">
        <v>15.9</v>
      </c>
      <c r="Q5" s="93">
        <v>16.899999999999999</v>
      </c>
      <c r="R5" s="109">
        <v>16.8</v>
      </c>
      <c r="S5" s="109">
        <v>17.5</v>
      </c>
      <c r="T5" s="109">
        <v>18.100000000000001</v>
      </c>
      <c r="U5" s="93">
        <v>17.7</v>
      </c>
      <c r="V5" s="93">
        <v>17.5</v>
      </c>
      <c r="W5" s="93">
        <v>18.100000000000001</v>
      </c>
      <c r="X5" s="109">
        <v>17.899999999999999</v>
      </c>
      <c r="Y5" s="109">
        <v>18.7</v>
      </c>
      <c r="Z5" s="109">
        <v>18.7</v>
      </c>
      <c r="AA5" s="93">
        <v>18.899999999999999</v>
      </c>
      <c r="AB5" s="93">
        <v>18.7</v>
      </c>
      <c r="AC5" s="93">
        <v>18.100000000000001</v>
      </c>
      <c r="AD5" s="109">
        <v>19</v>
      </c>
      <c r="AE5" s="446"/>
      <c r="AF5" s="446"/>
    </row>
    <row r="6" spans="1:32" x14ac:dyDescent="0.2">
      <c r="A6" s="13"/>
      <c r="B6" s="14">
        <v>5</v>
      </c>
      <c r="C6" s="15" t="s">
        <v>1</v>
      </c>
      <c r="D6" s="91">
        <v>18.899999999999999</v>
      </c>
      <c r="E6" s="84">
        <v>17.100000000000001</v>
      </c>
      <c r="F6" s="84">
        <v>16.399999999999999</v>
      </c>
      <c r="G6" s="84">
        <v>20.100000000000001</v>
      </c>
      <c r="H6" s="84">
        <v>21</v>
      </c>
      <c r="I6" s="84">
        <v>20.3</v>
      </c>
      <c r="J6" s="114">
        <v>21.7</v>
      </c>
      <c r="K6" s="105">
        <v>21.4</v>
      </c>
      <c r="L6" s="105">
        <v>21.8</v>
      </c>
      <c r="M6" s="105">
        <v>23.4</v>
      </c>
      <c r="N6" s="105">
        <v>23</v>
      </c>
      <c r="O6" s="105">
        <v>22.8</v>
      </c>
      <c r="P6" s="106">
        <v>21.8</v>
      </c>
      <c r="Q6" s="106">
        <v>22.2</v>
      </c>
      <c r="R6" s="105">
        <v>21.9</v>
      </c>
      <c r="S6" s="105">
        <v>23.4</v>
      </c>
      <c r="T6" s="105">
        <v>23.9</v>
      </c>
      <c r="U6" s="106">
        <v>24.3</v>
      </c>
      <c r="V6" s="106">
        <v>24</v>
      </c>
      <c r="W6" s="106">
        <v>24</v>
      </c>
      <c r="X6" s="105">
        <v>23.2</v>
      </c>
      <c r="Y6" s="105">
        <v>24</v>
      </c>
      <c r="Z6" s="105">
        <v>23.7</v>
      </c>
      <c r="AA6" s="106">
        <v>24.1</v>
      </c>
      <c r="AB6" s="106">
        <v>23.1</v>
      </c>
      <c r="AC6" s="106">
        <v>23.4</v>
      </c>
      <c r="AD6" s="105">
        <v>23.7</v>
      </c>
      <c r="AE6" s="446"/>
      <c r="AF6" s="446"/>
    </row>
    <row r="7" spans="1:32" ht="17" thickBot="1" x14ac:dyDescent="0.25">
      <c r="A7" s="33"/>
      <c r="B7" s="34">
        <v>6</v>
      </c>
      <c r="C7" s="35" t="s">
        <v>2</v>
      </c>
      <c r="D7" s="87">
        <v>19.100000000000001</v>
      </c>
      <c r="E7" s="88">
        <v>16.3</v>
      </c>
      <c r="F7" s="88">
        <v>15.8</v>
      </c>
      <c r="G7" s="88">
        <v>19.2</v>
      </c>
      <c r="H7" s="88">
        <v>21</v>
      </c>
      <c r="I7" s="88">
        <v>21.4</v>
      </c>
      <c r="J7" s="108">
        <v>21.3</v>
      </c>
      <c r="K7" s="108">
        <v>21</v>
      </c>
      <c r="L7" s="108">
        <v>22.2</v>
      </c>
      <c r="M7" s="108">
        <v>23.4</v>
      </c>
      <c r="N7" s="108">
        <v>23.2</v>
      </c>
      <c r="O7" s="108">
        <v>22.7</v>
      </c>
      <c r="P7" s="88">
        <v>22.4</v>
      </c>
      <c r="Q7" s="88">
        <v>21.1</v>
      </c>
      <c r="R7" s="108">
        <v>21.6</v>
      </c>
      <c r="S7" s="108">
        <v>21.1</v>
      </c>
      <c r="T7" s="108">
        <v>23.2</v>
      </c>
      <c r="U7" s="88">
        <v>22.4</v>
      </c>
      <c r="V7" s="88">
        <v>23.4</v>
      </c>
      <c r="W7" s="88">
        <v>22.5</v>
      </c>
      <c r="X7" s="108">
        <v>23</v>
      </c>
      <c r="Y7" s="108">
        <v>23.8</v>
      </c>
      <c r="Z7" s="108">
        <v>24</v>
      </c>
      <c r="AA7" s="88">
        <v>24.5</v>
      </c>
      <c r="AB7" s="88">
        <v>24.4</v>
      </c>
      <c r="AC7" s="88">
        <v>24</v>
      </c>
      <c r="AD7" s="108">
        <v>24</v>
      </c>
      <c r="AE7" s="446"/>
      <c r="AF7" s="446"/>
    </row>
    <row r="8" spans="1:32" x14ac:dyDescent="0.2">
      <c r="A8" s="29" t="s">
        <v>4</v>
      </c>
      <c r="B8" s="30">
        <v>7</v>
      </c>
      <c r="C8" s="31" t="s">
        <v>0</v>
      </c>
      <c r="D8" s="92">
        <v>18.8</v>
      </c>
      <c r="E8" s="93">
        <v>16.600000000000001</v>
      </c>
      <c r="F8" s="93">
        <v>17.3</v>
      </c>
      <c r="G8" s="93">
        <v>20.7</v>
      </c>
      <c r="H8" s="93">
        <v>21.6</v>
      </c>
      <c r="I8" s="93">
        <v>21.7</v>
      </c>
      <c r="J8" s="109">
        <v>22.5</v>
      </c>
      <c r="K8" s="109">
        <v>23</v>
      </c>
      <c r="L8" s="109">
        <v>22.8</v>
      </c>
      <c r="M8" s="109">
        <v>23</v>
      </c>
      <c r="N8" s="109">
        <v>23.1</v>
      </c>
      <c r="O8" s="109">
        <v>23.3</v>
      </c>
      <c r="P8" s="93">
        <v>23.8</v>
      </c>
      <c r="Q8" s="93">
        <v>23.7</v>
      </c>
      <c r="R8" s="109">
        <v>20.3</v>
      </c>
      <c r="S8" s="109">
        <v>19.3</v>
      </c>
      <c r="T8" s="109">
        <v>17.5</v>
      </c>
      <c r="U8" s="93">
        <v>18</v>
      </c>
      <c r="V8" s="93">
        <v>19.5</v>
      </c>
      <c r="W8" s="93">
        <v>19.3</v>
      </c>
      <c r="X8" s="409" t="s">
        <v>32</v>
      </c>
      <c r="Y8" s="417"/>
      <c r="Z8" s="417"/>
      <c r="AA8" s="417"/>
      <c r="AB8" s="417"/>
      <c r="AC8" s="417"/>
      <c r="AD8" s="417"/>
      <c r="AE8" s="446"/>
      <c r="AF8" s="446"/>
    </row>
    <row r="9" spans="1:32" x14ac:dyDescent="0.2">
      <c r="A9" s="22"/>
      <c r="B9" s="20">
        <v>8</v>
      </c>
      <c r="C9" s="21" t="s">
        <v>1</v>
      </c>
      <c r="D9" s="85">
        <v>19.100000000000001</v>
      </c>
      <c r="E9" s="86">
        <v>17.399999999999999</v>
      </c>
      <c r="F9" s="86">
        <v>16.5</v>
      </c>
      <c r="G9" s="86">
        <v>20.399999999999999</v>
      </c>
      <c r="H9" s="86">
        <v>21.9</v>
      </c>
      <c r="I9" s="86">
        <v>23</v>
      </c>
      <c r="J9" s="107">
        <v>22.7</v>
      </c>
      <c r="K9" s="107">
        <v>22.9</v>
      </c>
      <c r="L9" s="107">
        <v>22.8</v>
      </c>
      <c r="M9" s="107">
        <v>23.5</v>
      </c>
      <c r="N9" s="107">
        <v>22.9</v>
      </c>
      <c r="O9" s="107">
        <v>24.2</v>
      </c>
      <c r="P9" s="86">
        <v>24</v>
      </c>
      <c r="Q9" s="86">
        <v>25</v>
      </c>
      <c r="R9" s="107">
        <v>20.7</v>
      </c>
      <c r="S9" s="107">
        <v>21.2</v>
      </c>
      <c r="T9" s="107">
        <v>19.7</v>
      </c>
      <c r="U9" s="86">
        <v>20.3</v>
      </c>
      <c r="V9" s="86">
        <v>21.2</v>
      </c>
      <c r="W9" s="86">
        <v>21.4</v>
      </c>
      <c r="X9" s="107">
        <v>21.9</v>
      </c>
      <c r="Y9" s="107">
        <v>21.7</v>
      </c>
      <c r="Z9" s="107">
        <v>23.4</v>
      </c>
      <c r="AA9" s="86">
        <v>24</v>
      </c>
      <c r="AB9" s="86">
        <v>24.5</v>
      </c>
      <c r="AC9" s="86">
        <v>24.5</v>
      </c>
      <c r="AD9" s="107">
        <v>24.7</v>
      </c>
      <c r="AE9" s="446"/>
      <c r="AF9" s="446"/>
    </row>
    <row r="10" spans="1:32" ht="17" thickBot="1" x14ac:dyDescent="0.25">
      <c r="A10" s="39"/>
      <c r="B10" s="40">
        <v>9</v>
      </c>
      <c r="C10" s="41" t="s">
        <v>2</v>
      </c>
      <c r="D10" s="87">
        <v>17.8</v>
      </c>
      <c r="E10" s="88">
        <v>15.6</v>
      </c>
      <c r="F10" s="88">
        <v>16.100000000000001</v>
      </c>
      <c r="G10" s="88">
        <v>20</v>
      </c>
      <c r="H10" s="88">
        <v>21.6</v>
      </c>
      <c r="I10" s="88">
        <v>21.1</v>
      </c>
      <c r="J10" s="108">
        <v>21.9</v>
      </c>
      <c r="K10" s="108">
        <v>21.8</v>
      </c>
      <c r="L10" s="108">
        <v>21.8</v>
      </c>
      <c r="M10" s="108">
        <v>23.2</v>
      </c>
      <c r="N10" s="108">
        <v>22</v>
      </c>
      <c r="O10" s="108">
        <v>23.2</v>
      </c>
      <c r="P10" s="88">
        <v>23.1</v>
      </c>
      <c r="Q10" s="88">
        <v>23.8</v>
      </c>
      <c r="R10" s="108">
        <v>20.5</v>
      </c>
      <c r="S10" s="108">
        <v>18.3</v>
      </c>
      <c r="T10" s="403">
        <v>16.8</v>
      </c>
      <c r="U10" s="403">
        <v>17</v>
      </c>
      <c r="V10" s="88">
        <v>19.2</v>
      </c>
      <c r="W10" s="403">
        <v>18.600000000000001</v>
      </c>
      <c r="X10" s="403">
        <v>17.399999999999999</v>
      </c>
      <c r="Y10" s="108">
        <v>14.2</v>
      </c>
      <c r="Z10" s="416" t="s">
        <v>32</v>
      </c>
      <c r="AA10" s="450"/>
      <c r="AB10" s="450"/>
      <c r="AC10" s="450"/>
      <c r="AD10" s="450"/>
      <c r="AE10" s="446"/>
      <c r="AF10" s="446"/>
    </row>
    <row r="11" spans="1:32" x14ac:dyDescent="0.2">
      <c r="A11" s="36" t="s">
        <v>5</v>
      </c>
      <c r="B11" s="37">
        <v>10</v>
      </c>
      <c r="C11" s="38" t="s">
        <v>0</v>
      </c>
      <c r="D11" s="92">
        <v>20.100000000000001</v>
      </c>
      <c r="E11" s="93">
        <v>17.7</v>
      </c>
      <c r="F11" s="93">
        <v>18.7</v>
      </c>
      <c r="G11" s="93">
        <v>20.5</v>
      </c>
      <c r="H11" s="93">
        <v>21.5</v>
      </c>
      <c r="I11" s="93">
        <v>21.2</v>
      </c>
      <c r="J11" s="109">
        <v>22.3</v>
      </c>
      <c r="K11" s="109">
        <v>21.9</v>
      </c>
      <c r="L11" s="109">
        <v>22.4</v>
      </c>
      <c r="M11" s="109">
        <v>21.2</v>
      </c>
      <c r="N11" s="109">
        <v>22.5</v>
      </c>
      <c r="O11" s="109">
        <v>22.5</v>
      </c>
      <c r="P11" s="93">
        <v>22.3</v>
      </c>
      <c r="Q11" s="93">
        <v>22</v>
      </c>
      <c r="R11" s="109">
        <v>22.9</v>
      </c>
      <c r="S11" s="109">
        <v>23.1</v>
      </c>
      <c r="T11" s="109">
        <v>23.8</v>
      </c>
      <c r="U11" s="93">
        <v>23.8</v>
      </c>
      <c r="V11" s="93">
        <v>24.2</v>
      </c>
      <c r="W11" s="93">
        <v>24.1</v>
      </c>
      <c r="X11" s="109">
        <v>23.6</v>
      </c>
      <c r="Y11" s="109">
        <v>23.6</v>
      </c>
      <c r="Z11" s="109">
        <v>23.9</v>
      </c>
      <c r="AA11" s="93">
        <v>24.8</v>
      </c>
      <c r="AB11" s="93">
        <v>24</v>
      </c>
      <c r="AC11" s="93">
        <v>23.3</v>
      </c>
      <c r="AD11" s="109">
        <v>22.9</v>
      </c>
      <c r="AE11" s="446"/>
      <c r="AF11" s="446"/>
    </row>
    <row r="12" spans="1:32" x14ac:dyDescent="0.2">
      <c r="A12" s="25"/>
      <c r="B12" s="23">
        <v>11</v>
      </c>
      <c r="C12" s="24" t="s">
        <v>1</v>
      </c>
      <c r="D12" s="85">
        <v>18.2</v>
      </c>
      <c r="E12" s="86">
        <v>16.3</v>
      </c>
      <c r="F12" s="86">
        <v>16.399999999999999</v>
      </c>
      <c r="G12" s="86">
        <v>18.3</v>
      </c>
      <c r="H12" s="86">
        <v>18.899999999999999</v>
      </c>
      <c r="I12" s="86">
        <v>19.7</v>
      </c>
      <c r="J12" s="107">
        <v>20.5</v>
      </c>
      <c r="K12" s="107">
        <v>20.8</v>
      </c>
      <c r="L12" s="107">
        <v>21.2</v>
      </c>
      <c r="M12" s="107">
        <v>21.1</v>
      </c>
      <c r="N12" s="107">
        <v>21.7</v>
      </c>
      <c r="O12" s="107">
        <v>21.8</v>
      </c>
      <c r="P12" s="86">
        <v>21.7</v>
      </c>
      <c r="Q12" s="86">
        <v>21.9</v>
      </c>
      <c r="R12" s="107">
        <v>17.8</v>
      </c>
      <c r="S12" s="107">
        <v>19.100000000000001</v>
      </c>
      <c r="T12" s="107">
        <v>17.5</v>
      </c>
      <c r="U12" s="402">
        <v>16.8</v>
      </c>
      <c r="V12" s="86">
        <v>18.8</v>
      </c>
      <c r="W12" s="86">
        <v>19.399999999999999</v>
      </c>
      <c r="X12" s="107">
        <v>19.3</v>
      </c>
      <c r="Y12" s="107">
        <v>18.899999999999999</v>
      </c>
      <c r="Z12" s="107">
        <v>20.399999999999999</v>
      </c>
      <c r="AA12" s="86">
        <v>22</v>
      </c>
      <c r="AB12" s="86">
        <v>22.1</v>
      </c>
      <c r="AC12" s="86">
        <v>21.5</v>
      </c>
      <c r="AD12" s="107">
        <v>21</v>
      </c>
      <c r="AE12" s="446"/>
      <c r="AF12" s="446"/>
    </row>
    <row r="13" spans="1:32" ht="17" thickBot="1" x14ac:dyDescent="0.25">
      <c r="A13" s="45"/>
      <c r="B13" s="46">
        <v>12</v>
      </c>
      <c r="C13" s="47" t="s">
        <v>2</v>
      </c>
      <c r="D13" s="87">
        <v>21.1</v>
      </c>
      <c r="E13" s="88">
        <v>19.3</v>
      </c>
      <c r="F13" s="88">
        <v>20.7</v>
      </c>
      <c r="G13" s="88">
        <v>22.2</v>
      </c>
      <c r="H13" s="88">
        <v>22.3</v>
      </c>
      <c r="I13" s="88">
        <v>22.3</v>
      </c>
      <c r="J13" s="108">
        <v>22.7</v>
      </c>
      <c r="K13" s="108">
        <v>23.8</v>
      </c>
      <c r="L13" s="108">
        <v>23.8</v>
      </c>
      <c r="M13" s="108">
        <v>23.4</v>
      </c>
      <c r="N13" s="108">
        <v>24.5</v>
      </c>
      <c r="O13" s="108">
        <v>24.1</v>
      </c>
      <c r="P13" s="88">
        <v>24.3</v>
      </c>
      <c r="Q13" s="88">
        <v>24.5</v>
      </c>
      <c r="R13" s="108">
        <v>25.1</v>
      </c>
      <c r="S13" s="108">
        <v>25.3</v>
      </c>
      <c r="T13" s="108">
        <v>25.5</v>
      </c>
      <c r="U13" s="88">
        <v>25.5</v>
      </c>
      <c r="V13" s="88">
        <v>25.9</v>
      </c>
      <c r="W13" s="88">
        <v>25.8</v>
      </c>
      <c r="X13" s="108">
        <v>25</v>
      </c>
      <c r="Y13" s="108">
        <v>25.6</v>
      </c>
      <c r="Z13" s="108">
        <v>25.9</v>
      </c>
      <c r="AA13" s="88">
        <v>26.3</v>
      </c>
      <c r="AB13" s="88">
        <v>26.7</v>
      </c>
      <c r="AC13" s="88">
        <v>25.8</v>
      </c>
      <c r="AD13" s="108">
        <v>25.8</v>
      </c>
      <c r="AE13" s="446"/>
      <c r="AF13" s="446"/>
    </row>
    <row r="14" spans="1:32" x14ac:dyDescent="0.2">
      <c r="A14" s="42" t="s">
        <v>9</v>
      </c>
      <c r="B14" s="43">
        <v>13</v>
      </c>
      <c r="C14" s="44" t="s">
        <v>0</v>
      </c>
      <c r="D14" s="92">
        <v>20.2</v>
      </c>
      <c r="E14" s="93">
        <v>18.100000000000001</v>
      </c>
      <c r="F14" s="93">
        <v>20</v>
      </c>
      <c r="G14" s="93">
        <v>20.399999999999999</v>
      </c>
      <c r="H14" s="93">
        <v>21.3</v>
      </c>
      <c r="I14" s="93">
        <v>22.6</v>
      </c>
      <c r="J14" s="32">
        <v>23.8</v>
      </c>
      <c r="K14" s="109">
        <v>23.4</v>
      </c>
      <c r="L14" s="109">
        <v>23</v>
      </c>
      <c r="M14" s="109">
        <v>24</v>
      </c>
      <c r="N14" s="109">
        <v>23.2</v>
      </c>
      <c r="O14" s="109">
        <v>24.9</v>
      </c>
      <c r="P14" s="93">
        <v>24.1</v>
      </c>
      <c r="Q14" s="93">
        <v>24.77</v>
      </c>
      <c r="R14" s="109">
        <v>24.4</v>
      </c>
      <c r="S14" s="109">
        <v>24.2</v>
      </c>
      <c r="T14" s="109">
        <v>25.1</v>
      </c>
      <c r="U14" s="93">
        <v>25.4</v>
      </c>
      <c r="V14" s="93">
        <v>26.6</v>
      </c>
      <c r="W14" s="93">
        <v>25.7</v>
      </c>
      <c r="X14" s="109">
        <v>24.3</v>
      </c>
      <c r="Y14" s="109">
        <v>22.9</v>
      </c>
      <c r="Z14" s="109">
        <v>25.3</v>
      </c>
      <c r="AA14" s="93">
        <v>26</v>
      </c>
      <c r="AB14" s="93">
        <v>26.6</v>
      </c>
      <c r="AC14" s="93">
        <v>25.9</v>
      </c>
      <c r="AD14" s="109">
        <v>24.7</v>
      </c>
      <c r="AE14" s="446"/>
      <c r="AF14" s="446"/>
    </row>
    <row r="15" spans="1:32" x14ac:dyDescent="0.2">
      <c r="A15" s="26"/>
      <c r="B15" s="27">
        <v>14</v>
      </c>
      <c r="C15" s="28" t="s">
        <v>1</v>
      </c>
      <c r="D15" s="85">
        <v>18.3</v>
      </c>
      <c r="E15" s="86">
        <v>16.2</v>
      </c>
      <c r="F15" s="86">
        <v>17.100000000000001</v>
      </c>
      <c r="G15" s="86">
        <v>17.399999999999999</v>
      </c>
      <c r="H15" s="86">
        <v>18.3</v>
      </c>
      <c r="I15" s="86">
        <v>19.5</v>
      </c>
      <c r="J15" s="107">
        <v>20.8</v>
      </c>
      <c r="K15" s="107">
        <v>20.9</v>
      </c>
      <c r="L15" s="107">
        <v>21.1</v>
      </c>
      <c r="M15" s="107">
        <v>21</v>
      </c>
      <c r="N15" s="107">
        <v>21.5</v>
      </c>
      <c r="O15" s="107">
        <v>23.1</v>
      </c>
      <c r="P15" s="86">
        <v>23.8</v>
      </c>
      <c r="Q15" s="86">
        <v>24.2</v>
      </c>
      <c r="R15" s="107">
        <v>23.8</v>
      </c>
      <c r="S15" s="107">
        <v>22.2</v>
      </c>
      <c r="T15" s="107">
        <v>22</v>
      </c>
      <c r="U15" s="86">
        <v>22.8</v>
      </c>
      <c r="V15" s="86">
        <v>23.4</v>
      </c>
      <c r="W15" s="86">
        <v>23.1</v>
      </c>
      <c r="X15" s="107">
        <v>22.3</v>
      </c>
      <c r="Y15" s="107">
        <v>21.6</v>
      </c>
      <c r="Z15" s="107">
        <v>22.7</v>
      </c>
      <c r="AA15" s="86">
        <v>23</v>
      </c>
      <c r="AB15" s="86">
        <v>24.1</v>
      </c>
      <c r="AC15" s="86">
        <v>23.7</v>
      </c>
      <c r="AD15" s="107">
        <v>23.9</v>
      </c>
      <c r="AE15" s="446"/>
      <c r="AF15" s="446"/>
    </row>
    <row r="16" spans="1:32" x14ac:dyDescent="0.2">
      <c r="A16" s="7"/>
      <c r="B16" s="56">
        <v>15</v>
      </c>
      <c r="C16" s="57" t="s">
        <v>2</v>
      </c>
      <c r="D16" s="94">
        <v>19.100000000000001</v>
      </c>
      <c r="E16" s="94">
        <v>17.2</v>
      </c>
      <c r="F16" s="85">
        <v>18.2</v>
      </c>
      <c r="G16" s="85">
        <v>20.2</v>
      </c>
      <c r="H16" s="85">
        <v>21.5</v>
      </c>
      <c r="I16" s="85">
        <v>22.7</v>
      </c>
      <c r="J16" s="19">
        <v>23.2</v>
      </c>
      <c r="K16" s="19">
        <v>23.5</v>
      </c>
      <c r="L16" s="19">
        <v>22.5</v>
      </c>
      <c r="M16" s="19">
        <v>22.1</v>
      </c>
      <c r="N16" s="19">
        <v>22.3</v>
      </c>
      <c r="O16" s="19">
        <v>21.7</v>
      </c>
      <c r="P16" s="85">
        <v>22.2</v>
      </c>
      <c r="Q16" s="85">
        <v>22.3</v>
      </c>
      <c r="R16" s="407">
        <v>22.3</v>
      </c>
      <c r="S16" s="407">
        <v>21.3</v>
      </c>
      <c r="T16" s="19">
        <v>21.8</v>
      </c>
      <c r="U16" s="85">
        <v>21.5</v>
      </c>
      <c r="V16" s="85">
        <v>23.1</v>
      </c>
      <c r="W16" s="85">
        <v>22.8</v>
      </c>
      <c r="X16" s="19">
        <v>21.7</v>
      </c>
      <c r="Y16" s="407">
        <v>20.8</v>
      </c>
      <c r="Z16" s="19">
        <v>22.3</v>
      </c>
      <c r="AA16" s="94">
        <v>22.4</v>
      </c>
      <c r="AB16" s="85">
        <v>22.4</v>
      </c>
      <c r="AC16" s="454">
        <v>22.1</v>
      </c>
      <c r="AD16" s="19">
        <v>22.5</v>
      </c>
    </row>
    <row r="17" spans="1:32" ht="17" thickBot="1" x14ac:dyDescent="0.25">
      <c r="O17" s="395"/>
    </row>
    <row r="18" spans="1:32" ht="17" thickBot="1" x14ac:dyDescent="0.25">
      <c r="D18" s="95" t="s">
        <v>10</v>
      </c>
      <c r="E18" s="96"/>
      <c r="F18" s="96"/>
      <c r="G18" s="96"/>
      <c r="H18" s="96"/>
      <c r="I18" s="97"/>
      <c r="J18" s="53" t="s">
        <v>19</v>
      </c>
      <c r="K18" s="54" t="s">
        <v>11</v>
      </c>
      <c r="L18" s="54"/>
      <c r="M18" s="54"/>
      <c r="N18" s="54"/>
      <c r="O18" s="202"/>
      <c r="P18" s="95" t="s">
        <v>12</v>
      </c>
      <c r="Q18" s="97"/>
      <c r="R18" s="54" t="s">
        <v>13</v>
      </c>
      <c r="S18" s="54"/>
      <c r="T18" s="55"/>
      <c r="U18" s="95" t="s">
        <v>14</v>
      </c>
      <c r="V18" s="96"/>
      <c r="W18" s="97"/>
      <c r="X18" s="53" t="s">
        <v>13</v>
      </c>
      <c r="Y18" s="54"/>
      <c r="Z18" s="55"/>
      <c r="AA18" s="95" t="s">
        <v>15</v>
      </c>
      <c r="AB18" s="96"/>
      <c r="AC18" s="97"/>
      <c r="AD18" s="447" t="s">
        <v>13</v>
      </c>
    </row>
    <row r="21" spans="1:32" x14ac:dyDescent="0.2">
      <c r="A21" t="s">
        <v>4</v>
      </c>
      <c r="B21" t="s">
        <v>16</v>
      </c>
    </row>
    <row r="22" spans="1:32" x14ac:dyDescent="0.2">
      <c r="A22" t="s">
        <v>5</v>
      </c>
      <c r="B22" t="s">
        <v>17</v>
      </c>
    </row>
    <row r="23" spans="1:32" x14ac:dyDescent="0.2">
      <c r="A23" t="s">
        <v>9</v>
      </c>
      <c r="B23" t="s">
        <v>18</v>
      </c>
    </row>
    <row r="30" spans="1:32" x14ac:dyDescent="0.2">
      <c r="A30" s="103" t="s">
        <v>6</v>
      </c>
      <c r="B30" s="101"/>
      <c r="C30" s="1" t="s">
        <v>7</v>
      </c>
      <c r="D30" s="77">
        <v>46041</v>
      </c>
      <c r="E30" s="3">
        <v>46043</v>
      </c>
      <c r="F30" s="3">
        <v>46045</v>
      </c>
      <c r="G30" s="3">
        <v>46048</v>
      </c>
      <c r="H30" s="3">
        <v>46050</v>
      </c>
      <c r="I30" s="51">
        <v>46052</v>
      </c>
      <c r="J30" s="2">
        <v>46055</v>
      </c>
      <c r="K30" s="9">
        <v>46059</v>
      </c>
      <c r="L30" s="9">
        <v>46062</v>
      </c>
      <c r="M30" s="79">
        <v>46064</v>
      </c>
      <c r="N30" s="79">
        <v>46066</v>
      </c>
      <c r="O30" s="79">
        <v>46069</v>
      </c>
      <c r="P30" s="79">
        <v>46071</v>
      </c>
      <c r="Q30" s="10">
        <v>46073</v>
      </c>
      <c r="R30" s="10">
        <v>46076</v>
      </c>
      <c r="S30" s="10">
        <v>46078</v>
      </c>
      <c r="T30" s="10">
        <v>46080</v>
      </c>
      <c r="U30" s="10">
        <v>46083</v>
      </c>
      <c r="V30" s="10">
        <v>46085</v>
      </c>
      <c r="W30" s="10">
        <v>46087</v>
      </c>
      <c r="X30" s="10">
        <v>46090</v>
      </c>
      <c r="Y30" s="10">
        <v>46092</v>
      </c>
      <c r="Z30" s="10">
        <v>46094</v>
      </c>
      <c r="AA30" s="10">
        <v>46097</v>
      </c>
      <c r="AB30" s="10">
        <v>46099</v>
      </c>
      <c r="AC30" s="10">
        <v>46101</v>
      </c>
      <c r="AD30" s="10">
        <v>46104</v>
      </c>
      <c r="AE30" s="445"/>
      <c r="AF30" s="445"/>
    </row>
    <row r="31" spans="1:32" x14ac:dyDescent="0.2">
      <c r="A31" s="102" t="s">
        <v>8</v>
      </c>
      <c r="B31" s="11">
        <v>1</v>
      </c>
      <c r="C31" s="58" t="s">
        <v>0</v>
      </c>
      <c r="D31" s="19">
        <v>100</v>
      </c>
      <c r="E31" s="73">
        <f>(E2/D2)*100</f>
        <v>78</v>
      </c>
      <c r="F31" s="73">
        <f t="shared" ref="F31:F45" si="0">(F2/D2)*100</f>
        <v>78</v>
      </c>
      <c r="G31" s="73">
        <f t="shared" ref="G31:G45" si="1">(G2/D2)*100</f>
        <v>96</v>
      </c>
      <c r="H31" s="73">
        <f t="shared" ref="H31:H45" si="2">(H2/D2)*100</f>
        <v>94.5</v>
      </c>
      <c r="I31" s="73">
        <f t="shared" ref="I31:I45" si="3">(I2/D2)*100</f>
        <v>99</v>
      </c>
      <c r="J31" s="73">
        <f t="shared" ref="J31:J45" si="4">(J2/D2)*100</f>
        <v>103.49999999999999</v>
      </c>
      <c r="K31" s="73">
        <f t="shared" ref="K31:K45" si="5">(K2/D2)*100</f>
        <v>109.00000000000001</v>
      </c>
      <c r="L31" s="73">
        <f t="shared" ref="L31:L45" si="6">(L2/D2)*100</f>
        <v>110.5</v>
      </c>
      <c r="M31" s="73">
        <f t="shared" ref="M31:M45" si="7">(M2/D2)*100</f>
        <v>112.5</v>
      </c>
      <c r="N31" s="73">
        <f t="shared" ref="N31:N45" si="8">(N2/D2)*100</f>
        <v>114.00000000000001</v>
      </c>
      <c r="O31" s="73">
        <f t="shared" ref="O31:O45" si="9">(O2/D2)*100</f>
        <v>114.5</v>
      </c>
      <c r="P31" s="73">
        <f t="shared" ref="P31:P45" si="10">(P2/D2)*100</f>
        <v>115.99999999999999</v>
      </c>
      <c r="Q31" s="73">
        <f t="shared" ref="Q31:Q45" si="11">(Q2/D2)*100</f>
        <v>117.5</v>
      </c>
      <c r="R31" s="73">
        <f t="shared" ref="R31:R45" si="12">(R2/D2)*100</f>
        <v>114.99999999999999</v>
      </c>
      <c r="S31" s="73">
        <f t="shared" ref="S31:S45" si="13">(S2/D2)*100</f>
        <v>110.5</v>
      </c>
      <c r="T31" s="73">
        <f t="shared" ref="T31:T45" si="14">(T2/D2)*100</f>
        <v>114.99999999999999</v>
      </c>
      <c r="U31" s="73">
        <f t="shared" ref="U31:U45" si="15">(U2/D2)*100</f>
        <v>117.5</v>
      </c>
      <c r="V31" s="73">
        <f t="shared" ref="V31:V45" si="16">(V2/D2)*100</f>
        <v>122</v>
      </c>
      <c r="W31" s="73">
        <f t="shared" ref="W31:W45" si="17">(W2/D2)*100</f>
        <v>119</v>
      </c>
      <c r="X31" s="73">
        <f t="shared" ref="X31:X36" si="18">(X2/D2)*100</f>
        <v>115.5</v>
      </c>
      <c r="Y31" s="73">
        <f t="shared" ref="Y31:Y36" si="19">(Y2/D2)*100</f>
        <v>115.5</v>
      </c>
      <c r="Z31" s="73">
        <f t="shared" ref="Z31:Z36" si="20">(Z2/D2)*100</f>
        <v>118.00000000000001</v>
      </c>
      <c r="AA31" s="73">
        <f t="shared" ref="AA31:AA36" si="21">(AA2/D2)*100</f>
        <v>121</v>
      </c>
      <c r="AB31" s="73">
        <f t="shared" ref="AB31:AB36" si="22">(AB2/D2)*100</f>
        <v>121</v>
      </c>
      <c r="AC31" s="73">
        <f t="shared" ref="AC31:AC36" si="23">(AC2/D2)*100</f>
        <v>119</v>
      </c>
      <c r="AD31" s="73">
        <f t="shared" ref="AD31:AD36" si="24">(AD2/D2)*100</f>
        <v>118.00000000000001</v>
      </c>
      <c r="AE31" s="446"/>
      <c r="AF31" s="446"/>
    </row>
    <row r="32" spans="1:32" x14ac:dyDescent="0.2">
      <c r="A32" s="48"/>
      <c r="B32" s="49">
        <v>2</v>
      </c>
      <c r="C32" s="59" t="s">
        <v>1</v>
      </c>
      <c r="D32" s="19">
        <v>100</v>
      </c>
      <c r="E32" s="74">
        <f t="shared" ref="E32:E45" si="25">(E3/D3)*100</f>
        <v>85.185185185185176</v>
      </c>
      <c r="F32" s="73">
        <f t="shared" si="0"/>
        <v>93.981481481481481</v>
      </c>
      <c r="G32" s="73">
        <f t="shared" si="1"/>
        <v>106.48148148148147</v>
      </c>
      <c r="H32" s="73">
        <f t="shared" si="2"/>
        <v>106.0185185185185</v>
      </c>
      <c r="I32" s="73">
        <f t="shared" si="3"/>
        <v>106.0185185185185</v>
      </c>
      <c r="J32" s="73">
        <f t="shared" si="4"/>
        <v>109.72222222222221</v>
      </c>
      <c r="K32" s="73">
        <f t="shared" si="5"/>
        <v>112.5</v>
      </c>
      <c r="L32" s="390">
        <f t="shared" si="6"/>
        <v>112.96296296296295</v>
      </c>
      <c r="M32" s="390">
        <f t="shared" si="7"/>
        <v>112.5</v>
      </c>
      <c r="N32" s="390">
        <f t="shared" si="8"/>
        <v>108.79629629629628</v>
      </c>
      <c r="O32" s="73">
        <f t="shared" si="9"/>
        <v>112.03703703703702</v>
      </c>
      <c r="P32" s="73">
        <f t="shared" si="10"/>
        <v>111.57407407407408</v>
      </c>
      <c r="Q32" s="73">
        <f t="shared" si="11"/>
        <v>112.03703703703702</v>
      </c>
      <c r="R32" s="73">
        <f t="shared" si="12"/>
        <v>110.18518518518519</v>
      </c>
      <c r="S32" s="73">
        <f t="shared" si="13"/>
        <v>113.42592592592591</v>
      </c>
      <c r="T32" s="73">
        <f t="shared" si="14"/>
        <v>110.64814814814814</v>
      </c>
      <c r="U32" s="73">
        <f t="shared" si="15"/>
        <v>115.74074074074075</v>
      </c>
      <c r="V32" s="73">
        <f t="shared" si="16"/>
        <v>118.05555555555556</v>
      </c>
      <c r="W32" s="73">
        <f t="shared" si="17"/>
        <v>115.74074074074075</v>
      </c>
      <c r="X32" s="73">
        <f t="shared" si="18"/>
        <v>112.96296296296295</v>
      </c>
      <c r="Y32" s="73">
        <f t="shared" si="19"/>
        <v>111.57407407407408</v>
      </c>
      <c r="Z32" s="73">
        <f t="shared" si="20"/>
        <v>113.88888888888889</v>
      </c>
      <c r="AA32" s="73">
        <f t="shared" si="21"/>
        <v>114.81481481481481</v>
      </c>
      <c r="AB32" s="73">
        <f t="shared" si="22"/>
        <v>116.2037037037037</v>
      </c>
      <c r="AC32" s="73">
        <f t="shared" si="23"/>
        <v>115.74074074074075</v>
      </c>
      <c r="AD32" s="73">
        <f t="shared" si="24"/>
        <v>114.81481481481481</v>
      </c>
      <c r="AE32" s="446"/>
      <c r="AF32" s="446"/>
    </row>
    <row r="33" spans="1:32" ht="17" thickBot="1" x14ac:dyDescent="0.25">
      <c r="A33" s="17"/>
      <c r="B33" s="16">
        <v>3</v>
      </c>
      <c r="C33" s="60" t="s">
        <v>2</v>
      </c>
      <c r="D33" s="18">
        <v>100</v>
      </c>
      <c r="E33" s="75">
        <f t="shared" si="25"/>
        <v>90.206185567010309</v>
      </c>
      <c r="F33" s="100">
        <f t="shared" si="0"/>
        <v>90.206185567010309</v>
      </c>
      <c r="G33" s="112">
        <f t="shared" si="1"/>
        <v>105.67010309278351</v>
      </c>
      <c r="H33" s="112">
        <f t="shared" si="2"/>
        <v>107.21649484536084</v>
      </c>
      <c r="I33" s="116">
        <f t="shared" si="3"/>
        <v>110.30927835051547</v>
      </c>
      <c r="J33" s="100">
        <f t="shared" si="4"/>
        <v>113.40206185567013</v>
      </c>
      <c r="K33" s="100">
        <f t="shared" si="5"/>
        <v>115.46391752577321</v>
      </c>
      <c r="L33" s="389">
        <f t="shared" si="6"/>
        <v>115.97938144329898</v>
      </c>
      <c r="M33" s="389">
        <f t="shared" si="7"/>
        <v>115.46391752577321</v>
      </c>
      <c r="N33" s="389">
        <f t="shared" si="8"/>
        <v>118.55670103092784</v>
      </c>
      <c r="O33" s="398">
        <f t="shared" si="9"/>
        <v>115.46391752577321</v>
      </c>
      <c r="P33" s="100">
        <f t="shared" si="10"/>
        <v>114.43298969072167</v>
      </c>
      <c r="Q33" s="100">
        <f t="shared" si="11"/>
        <v>114.43298969072167</v>
      </c>
      <c r="R33" s="100">
        <f t="shared" si="12"/>
        <v>115.97938144329898</v>
      </c>
      <c r="S33" s="100">
        <f t="shared" si="13"/>
        <v>119.58762886597938</v>
      </c>
      <c r="T33" s="100">
        <f t="shared" si="14"/>
        <v>119.58762886597938</v>
      </c>
      <c r="U33" s="100">
        <f t="shared" si="15"/>
        <v>119.58762886597938</v>
      </c>
      <c r="V33" s="100">
        <f t="shared" si="16"/>
        <v>126.80412371134022</v>
      </c>
      <c r="W33" s="100">
        <f t="shared" si="17"/>
        <v>123.71134020618557</v>
      </c>
      <c r="X33" s="100">
        <f t="shared" si="18"/>
        <v>124.74226804123711</v>
      </c>
      <c r="Y33" s="100">
        <f t="shared" si="19"/>
        <v>122.16494845360826</v>
      </c>
      <c r="Z33" s="100">
        <f t="shared" si="20"/>
        <v>128.35051546391753</v>
      </c>
      <c r="AA33" s="100">
        <f t="shared" si="21"/>
        <v>126.28865979381445</v>
      </c>
      <c r="AB33" s="100">
        <f t="shared" si="22"/>
        <v>130.9278350515464</v>
      </c>
      <c r="AC33" s="100">
        <f t="shared" si="23"/>
        <v>128.35051546391753</v>
      </c>
      <c r="AD33" s="463">
        <f t="shared" si="24"/>
        <v>129.38144329896909</v>
      </c>
      <c r="AE33" s="446"/>
      <c r="AF33" s="446"/>
    </row>
    <row r="34" spans="1:32" x14ac:dyDescent="0.2">
      <c r="A34" s="4" t="s">
        <v>3</v>
      </c>
      <c r="B34" s="5">
        <v>4</v>
      </c>
      <c r="C34" s="61" t="s">
        <v>0</v>
      </c>
      <c r="D34" s="32">
        <v>100</v>
      </c>
      <c r="E34" s="76">
        <f t="shared" si="25"/>
        <v>89.403973509933778</v>
      </c>
      <c r="F34" s="110">
        <f t="shared" si="0"/>
        <v>88.079470198675509</v>
      </c>
      <c r="G34" s="110">
        <f t="shared" si="1"/>
        <v>98.013245033112597</v>
      </c>
      <c r="H34" s="110">
        <f t="shared" si="2"/>
        <v>111.25827814569537</v>
      </c>
      <c r="I34" s="110">
        <f t="shared" si="3"/>
        <v>109.27152317880795</v>
      </c>
      <c r="J34" s="110">
        <f t="shared" si="4"/>
        <v>120.52980132450331</v>
      </c>
      <c r="K34" s="110">
        <f t="shared" si="5"/>
        <v>125.16556291390728</v>
      </c>
      <c r="L34" s="110">
        <f t="shared" si="6"/>
        <v>119.86754966887419</v>
      </c>
      <c r="M34" s="110">
        <f t="shared" si="7"/>
        <v>123.17880794701988</v>
      </c>
      <c r="N34" s="110">
        <f t="shared" si="8"/>
        <v>120.52980132450331</v>
      </c>
      <c r="O34" s="110">
        <f t="shared" si="9"/>
        <v>122.51655629139073</v>
      </c>
      <c r="P34" s="110">
        <f t="shared" si="10"/>
        <v>105.29801324503312</v>
      </c>
      <c r="Q34" s="110">
        <f t="shared" si="11"/>
        <v>111.92052980132449</v>
      </c>
      <c r="R34" s="110">
        <f t="shared" si="12"/>
        <v>111.25827814569537</v>
      </c>
      <c r="S34" s="110">
        <f t="shared" si="13"/>
        <v>115.89403973509933</v>
      </c>
      <c r="T34" s="110">
        <f t="shared" si="14"/>
        <v>119.86754966887419</v>
      </c>
      <c r="U34" s="110">
        <f t="shared" si="15"/>
        <v>117.21854304635761</v>
      </c>
      <c r="V34" s="110">
        <f t="shared" si="16"/>
        <v>115.89403973509933</v>
      </c>
      <c r="W34" s="110">
        <f t="shared" si="17"/>
        <v>119.86754966887419</v>
      </c>
      <c r="X34" s="110">
        <f t="shared" si="18"/>
        <v>118.54304635761588</v>
      </c>
      <c r="Y34" s="110">
        <f t="shared" si="19"/>
        <v>123.841059602649</v>
      </c>
      <c r="Z34" s="110">
        <f t="shared" si="20"/>
        <v>123.841059602649</v>
      </c>
      <c r="AA34" s="110">
        <f t="shared" si="21"/>
        <v>125.16556291390728</v>
      </c>
      <c r="AB34" s="110">
        <f t="shared" si="22"/>
        <v>123.841059602649</v>
      </c>
      <c r="AC34" s="110">
        <f t="shared" si="23"/>
        <v>119.86754966887419</v>
      </c>
      <c r="AD34" s="110">
        <f t="shared" si="24"/>
        <v>125.82781456953643</v>
      </c>
      <c r="AE34" s="446"/>
      <c r="AF34" s="446"/>
    </row>
    <row r="35" spans="1:32" x14ac:dyDescent="0.2">
      <c r="A35" s="13"/>
      <c r="B35" s="14">
        <v>5</v>
      </c>
      <c r="C35" s="62" t="s">
        <v>1</v>
      </c>
      <c r="D35" s="19">
        <v>100</v>
      </c>
      <c r="E35" s="76">
        <f t="shared" si="25"/>
        <v>90.476190476190482</v>
      </c>
      <c r="F35" s="73">
        <f t="shared" si="0"/>
        <v>86.772486772486772</v>
      </c>
      <c r="G35" s="73">
        <f t="shared" si="1"/>
        <v>106.34920634920637</v>
      </c>
      <c r="H35" s="73">
        <f t="shared" si="2"/>
        <v>111.11111111111111</v>
      </c>
      <c r="I35" s="73">
        <f t="shared" si="3"/>
        <v>107.40740740740742</v>
      </c>
      <c r="J35" s="73">
        <f t="shared" si="4"/>
        <v>114.81481481481481</v>
      </c>
      <c r="K35" s="73">
        <f t="shared" si="5"/>
        <v>113.22751322751323</v>
      </c>
      <c r="L35" s="73">
        <f t="shared" si="6"/>
        <v>115.34391534391534</v>
      </c>
      <c r="M35" s="73">
        <f t="shared" si="7"/>
        <v>123.80952380952381</v>
      </c>
      <c r="N35" s="73">
        <f t="shared" si="8"/>
        <v>121.6931216931217</v>
      </c>
      <c r="O35" s="73">
        <f t="shared" si="9"/>
        <v>120.63492063492065</v>
      </c>
      <c r="P35" s="73">
        <f t="shared" si="10"/>
        <v>115.34391534391534</v>
      </c>
      <c r="Q35" s="73">
        <f t="shared" si="11"/>
        <v>117.46031746031747</v>
      </c>
      <c r="R35" s="73">
        <f t="shared" si="12"/>
        <v>115.87301587301589</v>
      </c>
      <c r="S35" s="73">
        <f t="shared" si="13"/>
        <v>123.80952380952381</v>
      </c>
      <c r="T35" s="73">
        <f t="shared" si="14"/>
        <v>126.45502645502647</v>
      </c>
      <c r="U35" s="73">
        <f t="shared" si="15"/>
        <v>128.57142857142858</v>
      </c>
      <c r="V35" s="73">
        <f t="shared" si="16"/>
        <v>126.984126984127</v>
      </c>
      <c r="W35" s="73">
        <f t="shared" si="17"/>
        <v>126.984126984127</v>
      </c>
      <c r="X35" s="73">
        <f t="shared" si="18"/>
        <v>122.75132275132276</v>
      </c>
      <c r="Y35" s="73">
        <f t="shared" si="19"/>
        <v>126.984126984127</v>
      </c>
      <c r="Z35" s="73">
        <f t="shared" si="20"/>
        <v>125.39682539682539</v>
      </c>
      <c r="AA35" s="73">
        <f t="shared" si="21"/>
        <v>127.51322751322753</v>
      </c>
      <c r="AB35" s="73">
        <f t="shared" si="22"/>
        <v>122.22222222222223</v>
      </c>
      <c r="AC35" s="73">
        <f t="shared" si="23"/>
        <v>123.80952380952381</v>
      </c>
      <c r="AD35" s="73">
        <f t="shared" si="24"/>
        <v>125.39682539682539</v>
      </c>
      <c r="AE35" s="446"/>
      <c r="AF35" s="446"/>
    </row>
    <row r="36" spans="1:32" ht="17" thickBot="1" x14ac:dyDescent="0.25">
      <c r="A36" s="33"/>
      <c r="B36" s="34">
        <v>6</v>
      </c>
      <c r="C36" s="63" t="s">
        <v>2</v>
      </c>
      <c r="D36" s="18">
        <v>100</v>
      </c>
      <c r="E36" s="100">
        <f t="shared" si="25"/>
        <v>85.340314136125656</v>
      </c>
      <c r="F36" s="100">
        <f t="shared" si="0"/>
        <v>82.722513089005233</v>
      </c>
      <c r="G36" s="112">
        <f t="shared" si="1"/>
        <v>100.52356020942408</v>
      </c>
      <c r="H36" s="112">
        <f t="shared" si="2"/>
        <v>109.94764397905759</v>
      </c>
      <c r="I36" s="116">
        <f t="shared" si="3"/>
        <v>112.04188481675391</v>
      </c>
      <c r="J36" s="100">
        <f t="shared" si="4"/>
        <v>111.51832460732984</v>
      </c>
      <c r="K36" s="100">
        <f t="shared" si="5"/>
        <v>109.94764397905759</v>
      </c>
      <c r="L36" s="100">
        <f t="shared" si="6"/>
        <v>116.23036649214657</v>
      </c>
      <c r="M36" s="100">
        <f t="shared" si="7"/>
        <v>122.51308900523559</v>
      </c>
      <c r="N36" s="100">
        <f t="shared" si="8"/>
        <v>121.46596858638743</v>
      </c>
      <c r="O36" s="108">
        <f t="shared" si="9"/>
        <v>118.84816753926701</v>
      </c>
      <c r="P36" s="100">
        <f t="shared" si="10"/>
        <v>117.27748691099475</v>
      </c>
      <c r="Q36" s="100">
        <f t="shared" si="11"/>
        <v>110.47120418848166</v>
      </c>
      <c r="R36" s="100">
        <f t="shared" si="12"/>
        <v>113.0890052356021</v>
      </c>
      <c r="S36" s="100">
        <f t="shared" si="13"/>
        <v>110.47120418848166</v>
      </c>
      <c r="T36" s="100">
        <f t="shared" si="14"/>
        <v>121.46596858638743</v>
      </c>
      <c r="U36" s="100">
        <f t="shared" si="15"/>
        <v>117.27748691099475</v>
      </c>
      <c r="V36" s="100">
        <f t="shared" si="16"/>
        <v>122.51308900523559</v>
      </c>
      <c r="W36" s="100">
        <f t="shared" si="17"/>
        <v>117.80104712041883</v>
      </c>
      <c r="X36" s="100">
        <f t="shared" si="18"/>
        <v>120.41884816753925</v>
      </c>
      <c r="Y36" s="100">
        <f t="shared" si="19"/>
        <v>124.60732984293192</v>
      </c>
      <c r="Z36" s="100">
        <f t="shared" si="20"/>
        <v>125.6544502617801</v>
      </c>
      <c r="AA36" s="100">
        <f t="shared" si="21"/>
        <v>128.27225130890051</v>
      </c>
      <c r="AB36" s="100">
        <f t="shared" si="22"/>
        <v>127.74869109947642</v>
      </c>
      <c r="AC36" s="100">
        <f t="shared" si="23"/>
        <v>125.6544502617801</v>
      </c>
      <c r="AD36" s="463">
        <f t="shared" si="24"/>
        <v>125.6544502617801</v>
      </c>
      <c r="AE36" s="446"/>
      <c r="AF36" s="446"/>
    </row>
    <row r="37" spans="1:32" x14ac:dyDescent="0.2">
      <c r="A37" s="29" t="s">
        <v>4</v>
      </c>
      <c r="B37" s="30">
        <v>7</v>
      </c>
      <c r="C37" s="64" t="s">
        <v>0</v>
      </c>
      <c r="D37" s="32">
        <v>100</v>
      </c>
      <c r="E37" s="76">
        <f t="shared" si="25"/>
        <v>88.297872340425528</v>
      </c>
      <c r="F37" s="110">
        <f t="shared" si="0"/>
        <v>92.021276595744681</v>
      </c>
      <c r="G37" s="110">
        <f t="shared" si="1"/>
        <v>110.10638297872339</v>
      </c>
      <c r="H37" s="110">
        <f t="shared" si="2"/>
        <v>114.89361702127661</v>
      </c>
      <c r="I37" s="110">
        <f t="shared" si="3"/>
        <v>115.42553191489363</v>
      </c>
      <c r="J37" s="110">
        <f t="shared" si="4"/>
        <v>119.68085106382978</v>
      </c>
      <c r="K37" s="110">
        <f t="shared" si="5"/>
        <v>122.34042553191489</v>
      </c>
      <c r="L37" s="110">
        <f t="shared" si="6"/>
        <v>121.27659574468086</v>
      </c>
      <c r="M37" s="110">
        <f t="shared" si="7"/>
        <v>122.34042553191489</v>
      </c>
      <c r="N37" s="110">
        <f t="shared" si="8"/>
        <v>122.87234042553192</v>
      </c>
      <c r="O37" s="110">
        <f t="shared" si="9"/>
        <v>123.93617021276594</v>
      </c>
      <c r="P37" s="110">
        <f t="shared" si="10"/>
        <v>126.59574468085107</v>
      </c>
      <c r="Q37" s="110">
        <f t="shared" si="11"/>
        <v>126.06382978723403</v>
      </c>
      <c r="R37" s="110">
        <f t="shared" si="12"/>
        <v>107.97872340425532</v>
      </c>
      <c r="S37" s="110">
        <f t="shared" si="13"/>
        <v>102.65957446808511</v>
      </c>
      <c r="T37" s="414">
        <f t="shared" si="14"/>
        <v>93.085106382978722</v>
      </c>
      <c r="U37" s="414">
        <f t="shared" si="15"/>
        <v>95.744680851063819</v>
      </c>
      <c r="V37" s="110">
        <f t="shared" si="16"/>
        <v>103.72340425531914</v>
      </c>
      <c r="W37" s="110">
        <f t="shared" si="17"/>
        <v>102.65957446808511</v>
      </c>
      <c r="X37" s="409" t="s">
        <v>32</v>
      </c>
      <c r="Y37" s="409"/>
      <c r="Z37" s="448"/>
      <c r="AA37" s="409"/>
      <c r="AB37" s="409"/>
      <c r="AC37" s="409"/>
      <c r="AD37" s="409"/>
      <c r="AE37" s="446"/>
      <c r="AF37" s="446"/>
    </row>
    <row r="38" spans="1:32" x14ac:dyDescent="0.2">
      <c r="A38" s="22"/>
      <c r="B38" s="20">
        <v>8</v>
      </c>
      <c r="C38" s="65" t="s">
        <v>1</v>
      </c>
      <c r="D38" s="19">
        <v>100</v>
      </c>
      <c r="E38" s="76">
        <f t="shared" si="25"/>
        <v>91.099476439790564</v>
      </c>
      <c r="F38" s="73">
        <f t="shared" si="0"/>
        <v>86.387434554973822</v>
      </c>
      <c r="G38" s="73">
        <f t="shared" si="1"/>
        <v>106.80628272251307</v>
      </c>
      <c r="H38" s="73">
        <f t="shared" si="2"/>
        <v>114.65968586387434</v>
      </c>
      <c r="I38" s="73">
        <f t="shared" si="3"/>
        <v>120.41884816753925</v>
      </c>
      <c r="J38" s="73">
        <f>(J9/D9)*100</f>
        <v>118.84816753926701</v>
      </c>
      <c r="K38" s="73">
        <f t="shared" si="5"/>
        <v>119.89528795811518</v>
      </c>
      <c r="L38" s="73">
        <f t="shared" si="6"/>
        <v>119.37172774869109</v>
      </c>
      <c r="M38" s="73">
        <f t="shared" si="7"/>
        <v>123.03664921465966</v>
      </c>
      <c r="N38" s="73">
        <f t="shared" si="8"/>
        <v>119.89528795811518</v>
      </c>
      <c r="O38" s="73">
        <f t="shared" si="9"/>
        <v>126.70157068062827</v>
      </c>
      <c r="P38" s="73">
        <f t="shared" si="10"/>
        <v>125.6544502617801</v>
      </c>
      <c r="Q38" s="73">
        <f t="shared" si="11"/>
        <v>130.89005235602093</v>
      </c>
      <c r="R38" s="73">
        <f t="shared" si="12"/>
        <v>108.37696335078533</v>
      </c>
      <c r="S38" s="73">
        <f t="shared" si="13"/>
        <v>110.99476439790574</v>
      </c>
      <c r="T38" s="73">
        <f t="shared" si="14"/>
        <v>103.1413612565445</v>
      </c>
      <c r="U38" s="73">
        <f t="shared" si="15"/>
        <v>106.28272251308901</v>
      </c>
      <c r="V38" s="73">
        <f t="shared" si="16"/>
        <v>110.99476439790574</v>
      </c>
      <c r="W38" s="73">
        <f t="shared" si="17"/>
        <v>112.04188481675391</v>
      </c>
      <c r="X38" s="73">
        <f t="shared" ref="X38:X45" si="26">(X9/D9)*100</f>
        <v>114.65968586387434</v>
      </c>
      <c r="Y38" s="73">
        <f t="shared" ref="Y38:Y45" si="27">(Y9/D9)*100</f>
        <v>113.61256544502616</v>
      </c>
      <c r="Z38" s="73">
        <f>(Z9/D9)*100</f>
        <v>122.51308900523559</v>
      </c>
      <c r="AA38" s="73">
        <f>(AA9/D9)*100</f>
        <v>125.6544502617801</v>
      </c>
      <c r="AB38" s="73">
        <f>(AB9/D9)*100</f>
        <v>128.27225130890051</v>
      </c>
      <c r="AC38" s="73">
        <f>(AC9/D9)*100</f>
        <v>128.27225130890051</v>
      </c>
      <c r="AD38" s="73">
        <f>(AD9/D9)*100</f>
        <v>129.31937172774869</v>
      </c>
      <c r="AE38" s="446"/>
      <c r="AF38" s="446"/>
    </row>
    <row r="39" spans="1:32" ht="17" thickBot="1" x14ac:dyDescent="0.25">
      <c r="A39" s="39"/>
      <c r="B39" s="40">
        <v>9</v>
      </c>
      <c r="C39" s="66" t="s">
        <v>2</v>
      </c>
      <c r="D39" s="18">
        <v>100</v>
      </c>
      <c r="E39" s="100">
        <f t="shared" si="25"/>
        <v>87.640449438202239</v>
      </c>
      <c r="F39" s="100">
        <f t="shared" si="0"/>
        <v>90.449438202247194</v>
      </c>
      <c r="G39" s="112">
        <f t="shared" si="1"/>
        <v>112.35955056179773</v>
      </c>
      <c r="H39" s="112">
        <f t="shared" si="2"/>
        <v>121.34831460674158</v>
      </c>
      <c r="I39" s="116">
        <f t="shared" si="3"/>
        <v>118.53932584269664</v>
      </c>
      <c r="J39" s="100">
        <f t="shared" si="4"/>
        <v>123.03370786516852</v>
      </c>
      <c r="K39" s="100">
        <f t="shared" si="5"/>
        <v>122.47191011235954</v>
      </c>
      <c r="L39" s="100">
        <f t="shared" si="6"/>
        <v>122.47191011235954</v>
      </c>
      <c r="M39" s="100">
        <f t="shared" si="7"/>
        <v>130.33707865168537</v>
      </c>
      <c r="N39" s="100">
        <f t="shared" si="8"/>
        <v>123.59550561797752</v>
      </c>
      <c r="O39" s="108">
        <f t="shared" si="9"/>
        <v>130.33707865168537</v>
      </c>
      <c r="P39" s="100">
        <f t="shared" si="10"/>
        <v>129.77528089887639</v>
      </c>
      <c r="Q39" s="100">
        <f t="shared" si="11"/>
        <v>133.70786516853931</v>
      </c>
      <c r="R39" s="100">
        <f t="shared" si="12"/>
        <v>115.1685393258427</v>
      </c>
      <c r="S39" s="100">
        <f t="shared" si="13"/>
        <v>102.80898876404494</v>
      </c>
      <c r="T39" s="413">
        <f t="shared" si="14"/>
        <v>94.382022471910105</v>
      </c>
      <c r="U39" s="413">
        <f t="shared" si="15"/>
        <v>95.50561797752809</v>
      </c>
      <c r="V39" s="100">
        <f t="shared" si="16"/>
        <v>107.86516853932584</v>
      </c>
      <c r="W39" s="100">
        <f t="shared" si="17"/>
        <v>104.49438202247192</v>
      </c>
      <c r="X39" s="413">
        <f t="shared" si="26"/>
        <v>97.752808988764031</v>
      </c>
      <c r="Y39" s="413">
        <f t="shared" si="27"/>
        <v>79.775280898876403</v>
      </c>
      <c r="Z39" s="449" t="s">
        <v>32</v>
      </c>
      <c r="AA39" s="416"/>
      <c r="AB39" s="416"/>
      <c r="AC39" s="416"/>
      <c r="AD39" s="416"/>
      <c r="AE39" s="446"/>
      <c r="AF39" s="446"/>
    </row>
    <row r="40" spans="1:32" x14ac:dyDescent="0.2">
      <c r="A40" s="36" t="s">
        <v>5</v>
      </c>
      <c r="B40" s="37">
        <v>10</v>
      </c>
      <c r="C40" s="67" t="s">
        <v>0</v>
      </c>
      <c r="D40" s="32">
        <v>100</v>
      </c>
      <c r="E40" s="76">
        <f t="shared" si="25"/>
        <v>88.0597014925373</v>
      </c>
      <c r="F40" s="110">
        <f t="shared" si="0"/>
        <v>93.034825870646756</v>
      </c>
      <c r="G40" s="110">
        <f t="shared" si="1"/>
        <v>101.99004975124377</v>
      </c>
      <c r="H40" s="110">
        <f t="shared" si="2"/>
        <v>106.96517412935323</v>
      </c>
      <c r="I40" s="110">
        <f t="shared" si="3"/>
        <v>105.47263681592038</v>
      </c>
      <c r="J40" s="110">
        <f t="shared" si="4"/>
        <v>110.94527363184079</v>
      </c>
      <c r="K40" s="110">
        <f t="shared" si="5"/>
        <v>108.955223880597</v>
      </c>
      <c r="L40" s="110">
        <f t="shared" si="6"/>
        <v>111.44278606965172</v>
      </c>
      <c r="M40" s="110">
        <f t="shared" si="7"/>
        <v>105.47263681592038</v>
      </c>
      <c r="N40" s="110">
        <f t="shared" si="8"/>
        <v>111.94029850746267</v>
      </c>
      <c r="O40" s="110">
        <f t="shared" si="9"/>
        <v>111.94029850746267</v>
      </c>
      <c r="P40" s="110">
        <f t="shared" si="10"/>
        <v>110.94527363184079</v>
      </c>
      <c r="Q40" s="110">
        <f t="shared" si="11"/>
        <v>109.45273631840794</v>
      </c>
      <c r="R40" s="110">
        <f t="shared" si="12"/>
        <v>113.93034825870645</v>
      </c>
      <c r="S40" s="110">
        <f t="shared" si="13"/>
        <v>114.92537313432835</v>
      </c>
      <c r="T40" s="110">
        <f t="shared" si="14"/>
        <v>118.40796019900498</v>
      </c>
      <c r="U40" s="110">
        <f t="shared" si="15"/>
        <v>118.40796019900498</v>
      </c>
      <c r="V40" s="110">
        <f t="shared" si="16"/>
        <v>120.39800995024873</v>
      </c>
      <c r="W40" s="110">
        <f t="shared" si="17"/>
        <v>119.90049751243781</v>
      </c>
      <c r="X40" s="110">
        <f t="shared" si="26"/>
        <v>117.41293532338308</v>
      </c>
      <c r="Y40" s="110">
        <f t="shared" si="27"/>
        <v>117.41293532338308</v>
      </c>
      <c r="Z40" s="110">
        <f t="shared" ref="Z40:Z45" si="28">(Z11/D11)*100</f>
        <v>118.9054726368159</v>
      </c>
      <c r="AA40" s="73">
        <f t="shared" ref="AA40:AA45" si="29">(AA11/D11)*100</f>
        <v>123.38308457711442</v>
      </c>
      <c r="AB40" s="73">
        <f t="shared" ref="AB40:AB45" si="30">(AB11/D11)*100</f>
        <v>119.40298507462686</v>
      </c>
      <c r="AC40" s="73">
        <f t="shared" ref="AC40:AC45" si="31">(AC11/D11)*100</f>
        <v>115.92039800995025</v>
      </c>
      <c r="AD40" s="73">
        <f t="shared" ref="AD40:AD45" si="32">(AD11/D11)*100</f>
        <v>113.93034825870645</v>
      </c>
      <c r="AE40" s="446"/>
      <c r="AF40" s="446"/>
    </row>
    <row r="41" spans="1:32" x14ac:dyDescent="0.2">
      <c r="A41" s="25"/>
      <c r="B41" s="23">
        <v>11</v>
      </c>
      <c r="C41" s="68" t="s">
        <v>1</v>
      </c>
      <c r="D41" s="19">
        <v>100</v>
      </c>
      <c r="E41" s="76">
        <f t="shared" si="25"/>
        <v>89.560439560439562</v>
      </c>
      <c r="F41" s="73">
        <f t="shared" si="0"/>
        <v>90.109890109890102</v>
      </c>
      <c r="G41" s="73">
        <f t="shared" si="1"/>
        <v>100.54945054945054</v>
      </c>
      <c r="H41" s="73">
        <f t="shared" si="2"/>
        <v>103.84615384615384</v>
      </c>
      <c r="I41" s="73">
        <f t="shared" si="3"/>
        <v>108.24175824175823</v>
      </c>
      <c r="J41" s="73">
        <f t="shared" si="4"/>
        <v>112.63736263736264</v>
      </c>
      <c r="K41" s="73">
        <f t="shared" si="5"/>
        <v>114.28571428571431</v>
      </c>
      <c r="L41" s="73">
        <f t="shared" si="6"/>
        <v>116.4835164835165</v>
      </c>
      <c r="M41" s="73">
        <f t="shared" si="7"/>
        <v>115.93406593406594</v>
      </c>
      <c r="N41" s="73">
        <f t="shared" si="8"/>
        <v>119.23076923076923</v>
      </c>
      <c r="O41" s="73">
        <f t="shared" si="9"/>
        <v>119.7802197802198</v>
      </c>
      <c r="P41" s="73">
        <f t="shared" si="10"/>
        <v>119.23076923076923</v>
      </c>
      <c r="Q41" s="73">
        <f t="shared" si="11"/>
        <v>120.32967032967032</v>
      </c>
      <c r="R41" s="73">
        <f t="shared" si="12"/>
        <v>97.80219780219781</v>
      </c>
      <c r="S41" s="73">
        <f t="shared" si="13"/>
        <v>104.94505494505495</v>
      </c>
      <c r="T41" s="415">
        <f t="shared" si="14"/>
        <v>96.15384615384616</v>
      </c>
      <c r="U41" s="415">
        <f t="shared" si="15"/>
        <v>92.307692307692307</v>
      </c>
      <c r="V41" s="73">
        <f t="shared" si="16"/>
        <v>103.29670329670331</v>
      </c>
      <c r="W41" s="73">
        <f t="shared" si="17"/>
        <v>106.5934065934066</v>
      </c>
      <c r="X41" s="73">
        <f t="shared" si="26"/>
        <v>106.04395604395604</v>
      </c>
      <c r="Y41" s="73">
        <f t="shared" si="27"/>
        <v>103.84615384615384</v>
      </c>
      <c r="Z41" s="73">
        <f t="shared" si="28"/>
        <v>112.08791208791209</v>
      </c>
      <c r="AA41" s="73">
        <f t="shared" si="29"/>
        <v>120.87912087912089</v>
      </c>
      <c r="AB41" s="73">
        <f t="shared" si="30"/>
        <v>121.42857142857144</v>
      </c>
      <c r="AC41" s="73">
        <f t="shared" si="31"/>
        <v>118.13186813186813</v>
      </c>
      <c r="AD41" s="73">
        <f t="shared" si="32"/>
        <v>115.3846153846154</v>
      </c>
      <c r="AE41" s="446"/>
      <c r="AF41" s="446"/>
    </row>
    <row r="42" spans="1:32" ht="17" thickBot="1" x14ac:dyDescent="0.25">
      <c r="A42" s="45"/>
      <c r="B42" s="46">
        <v>12</v>
      </c>
      <c r="C42" s="69" t="s">
        <v>2</v>
      </c>
      <c r="D42" s="18">
        <v>100</v>
      </c>
      <c r="E42" s="100">
        <f t="shared" si="25"/>
        <v>91.469194312796205</v>
      </c>
      <c r="F42" s="100">
        <f t="shared" si="0"/>
        <v>98.104265402843595</v>
      </c>
      <c r="G42" s="112">
        <f t="shared" si="1"/>
        <v>105.21327014218009</v>
      </c>
      <c r="H42" s="112">
        <f t="shared" si="2"/>
        <v>105.68720379146919</v>
      </c>
      <c r="I42" s="116">
        <f t="shared" si="3"/>
        <v>105.68720379146919</v>
      </c>
      <c r="J42" s="100">
        <f t="shared" si="4"/>
        <v>107.58293838862558</v>
      </c>
      <c r="K42" s="100">
        <f t="shared" si="5"/>
        <v>112.79620853080567</v>
      </c>
      <c r="L42" s="100">
        <f t="shared" si="6"/>
        <v>112.79620853080567</v>
      </c>
      <c r="M42" s="100">
        <f t="shared" si="7"/>
        <v>110.90047393364928</v>
      </c>
      <c r="N42" s="100">
        <f t="shared" si="8"/>
        <v>116.11374407582937</v>
      </c>
      <c r="O42" s="108">
        <f t="shared" si="9"/>
        <v>114.21800947867298</v>
      </c>
      <c r="P42" s="100">
        <f t="shared" si="10"/>
        <v>115.16587677725119</v>
      </c>
      <c r="Q42" s="100">
        <f t="shared" si="11"/>
        <v>116.11374407582937</v>
      </c>
      <c r="R42" s="100">
        <f t="shared" si="12"/>
        <v>118.95734597156398</v>
      </c>
      <c r="S42" s="100">
        <f t="shared" si="13"/>
        <v>119.90521327014218</v>
      </c>
      <c r="T42" s="100">
        <f t="shared" si="14"/>
        <v>120.85308056872037</v>
      </c>
      <c r="U42" s="100">
        <f t="shared" si="15"/>
        <v>120.85308056872037</v>
      </c>
      <c r="V42" s="100">
        <f t="shared" si="16"/>
        <v>122.74881516587676</v>
      </c>
      <c r="W42" s="100">
        <f t="shared" si="17"/>
        <v>122.27488151658767</v>
      </c>
      <c r="X42" s="100">
        <f t="shared" si="26"/>
        <v>118.48341232227489</v>
      </c>
      <c r="Y42" s="100">
        <f t="shared" si="27"/>
        <v>121.32701421800948</v>
      </c>
      <c r="Z42" s="100">
        <f t="shared" si="28"/>
        <v>122.74881516587676</v>
      </c>
      <c r="AA42" s="100">
        <f t="shared" si="29"/>
        <v>124.64454976303317</v>
      </c>
      <c r="AB42" s="100">
        <f t="shared" si="30"/>
        <v>126.54028436018956</v>
      </c>
      <c r="AC42" s="100">
        <f t="shared" si="31"/>
        <v>122.27488151658767</v>
      </c>
      <c r="AD42" s="463">
        <f t="shared" si="32"/>
        <v>122.27488151658767</v>
      </c>
      <c r="AE42" s="446"/>
      <c r="AF42" s="446"/>
    </row>
    <row r="43" spans="1:32" x14ac:dyDescent="0.2">
      <c r="A43" s="42" t="s">
        <v>9</v>
      </c>
      <c r="B43" s="43">
        <v>13</v>
      </c>
      <c r="C43" s="70" t="s">
        <v>0</v>
      </c>
      <c r="D43" s="32">
        <v>100</v>
      </c>
      <c r="E43" s="76">
        <f t="shared" si="25"/>
        <v>89.603960396039611</v>
      </c>
      <c r="F43" s="110">
        <f t="shared" si="0"/>
        <v>99.009900990099013</v>
      </c>
      <c r="G43" s="110">
        <f t="shared" si="1"/>
        <v>100.99009900990099</v>
      </c>
      <c r="H43" s="110">
        <f t="shared" si="2"/>
        <v>105.44554455445545</v>
      </c>
      <c r="I43" s="110">
        <f t="shared" si="3"/>
        <v>111.88118811881189</v>
      </c>
      <c r="J43" s="110">
        <f t="shared" si="4"/>
        <v>117.82178217821783</v>
      </c>
      <c r="K43" s="110">
        <f t="shared" si="5"/>
        <v>115.84158415841583</v>
      </c>
      <c r="L43" s="110">
        <f t="shared" si="6"/>
        <v>113.86138613861388</v>
      </c>
      <c r="M43" s="110">
        <f t="shared" si="7"/>
        <v>118.8118811881188</v>
      </c>
      <c r="N43" s="110">
        <f t="shared" si="8"/>
        <v>114.85148514851484</v>
      </c>
      <c r="O43" s="110">
        <f t="shared" si="9"/>
        <v>123.26732673267327</v>
      </c>
      <c r="P43" s="110">
        <f t="shared" si="10"/>
        <v>119.30693069306932</v>
      </c>
      <c r="Q43" s="110">
        <f t="shared" si="11"/>
        <v>122.62376237623762</v>
      </c>
      <c r="R43" s="110">
        <f t="shared" si="12"/>
        <v>120.79207920792079</v>
      </c>
      <c r="S43" s="110">
        <f t="shared" si="13"/>
        <v>119.80198019801979</v>
      </c>
      <c r="T43" s="110">
        <f t="shared" si="14"/>
        <v>124.25742574257428</v>
      </c>
      <c r="U43" s="110">
        <f t="shared" si="15"/>
        <v>125.74257425742574</v>
      </c>
      <c r="V43" s="110">
        <f t="shared" si="16"/>
        <v>131.68316831683168</v>
      </c>
      <c r="W43" s="110">
        <f t="shared" si="17"/>
        <v>127.22772277227723</v>
      </c>
      <c r="X43" s="110">
        <f t="shared" si="26"/>
        <v>120.29702970297032</v>
      </c>
      <c r="Y43" s="110">
        <f t="shared" si="27"/>
        <v>113.36633663366335</v>
      </c>
      <c r="Z43" s="110">
        <f t="shared" si="28"/>
        <v>125.24752475247524</v>
      </c>
      <c r="AA43" s="110">
        <f t="shared" si="29"/>
        <v>128.71287128712871</v>
      </c>
      <c r="AB43" s="110">
        <f t="shared" si="30"/>
        <v>131.68316831683168</v>
      </c>
      <c r="AC43" s="110">
        <f t="shared" si="31"/>
        <v>128.21782178217822</v>
      </c>
      <c r="AD43" s="110">
        <f t="shared" si="32"/>
        <v>122.27722772277228</v>
      </c>
      <c r="AE43" s="446"/>
      <c r="AF43" s="446"/>
    </row>
    <row r="44" spans="1:32" x14ac:dyDescent="0.2">
      <c r="A44" s="26"/>
      <c r="B44" s="27">
        <v>14</v>
      </c>
      <c r="C44" s="71" t="s">
        <v>1</v>
      </c>
      <c r="D44" s="19">
        <v>100</v>
      </c>
      <c r="E44" s="76">
        <f t="shared" si="25"/>
        <v>88.52459016393442</v>
      </c>
      <c r="F44" s="73">
        <f t="shared" si="0"/>
        <v>93.442622950819683</v>
      </c>
      <c r="G44" s="73">
        <f t="shared" si="1"/>
        <v>95.081967213114737</v>
      </c>
      <c r="H44" s="73">
        <f t="shared" si="2"/>
        <v>100</v>
      </c>
      <c r="I44" s="73">
        <f t="shared" si="3"/>
        <v>106.55737704918032</v>
      </c>
      <c r="J44" s="73">
        <f t="shared" si="4"/>
        <v>113.66120218579235</v>
      </c>
      <c r="K44" s="73">
        <f t="shared" si="5"/>
        <v>114.20765027322403</v>
      </c>
      <c r="L44" s="73">
        <f t="shared" si="6"/>
        <v>115.30054644808743</v>
      </c>
      <c r="M44" s="73">
        <f t="shared" si="7"/>
        <v>114.75409836065573</v>
      </c>
      <c r="N44" s="73">
        <f t="shared" si="8"/>
        <v>117.4863387978142</v>
      </c>
      <c r="O44" s="73">
        <f t="shared" si="9"/>
        <v>126.22950819672131</v>
      </c>
      <c r="P44" s="73">
        <f t="shared" si="10"/>
        <v>130.05464480874315</v>
      </c>
      <c r="Q44" s="73">
        <f t="shared" si="11"/>
        <v>132.24043715846994</v>
      </c>
      <c r="R44" s="73">
        <f t="shared" si="12"/>
        <v>130.05464480874315</v>
      </c>
      <c r="S44" s="73">
        <f t="shared" si="13"/>
        <v>121.31147540983606</v>
      </c>
      <c r="T44" s="73">
        <f t="shared" si="14"/>
        <v>120.21857923497268</v>
      </c>
      <c r="U44" s="73">
        <f t="shared" si="15"/>
        <v>124.59016393442623</v>
      </c>
      <c r="V44" s="73">
        <f t="shared" si="16"/>
        <v>127.86885245901638</v>
      </c>
      <c r="W44" s="73">
        <f t="shared" si="17"/>
        <v>126.22950819672131</v>
      </c>
      <c r="X44" s="73">
        <f t="shared" si="26"/>
        <v>121.85792349726776</v>
      </c>
      <c r="Y44" s="73">
        <f t="shared" si="27"/>
        <v>118.0327868852459</v>
      </c>
      <c r="Z44" s="73">
        <f t="shared" si="28"/>
        <v>124.04371584699452</v>
      </c>
      <c r="AA44" s="73">
        <f t="shared" si="29"/>
        <v>125.6830601092896</v>
      </c>
      <c r="AB44" s="73">
        <f t="shared" si="30"/>
        <v>131.69398907103826</v>
      </c>
      <c r="AC44" s="73">
        <f t="shared" si="31"/>
        <v>129.50819672131146</v>
      </c>
      <c r="AD44" s="73">
        <f t="shared" si="32"/>
        <v>130.60109289617486</v>
      </c>
      <c r="AE44" s="446"/>
      <c r="AF44" s="446"/>
    </row>
    <row r="45" spans="1:32" x14ac:dyDescent="0.2">
      <c r="A45" s="7"/>
      <c r="B45" s="8">
        <v>15</v>
      </c>
      <c r="C45" s="72" t="s">
        <v>2</v>
      </c>
      <c r="D45" s="19">
        <v>100</v>
      </c>
      <c r="E45" s="76">
        <f t="shared" si="25"/>
        <v>90.052356020942398</v>
      </c>
      <c r="F45" s="111">
        <f t="shared" si="0"/>
        <v>95.28795811518323</v>
      </c>
      <c r="G45" s="113">
        <f t="shared" si="1"/>
        <v>105.75916230366491</v>
      </c>
      <c r="H45" s="113">
        <f t="shared" si="2"/>
        <v>112.565445026178</v>
      </c>
      <c r="I45" s="111">
        <f t="shared" si="3"/>
        <v>118.84816753926701</v>
      </c>
      <c r="J45" s="188">
        <f t="shared" si="4"/>
        <v>121.46596858638743</v>
      </c>
      <c r="K45" s="188">
        <f t="shared" si="5"/>
        <v>123.03664921465966</v>
      </c>
      <c r="L45" s="188">
        <f t="shared" si="6"/>
        <v>117.80104712041883</v>
      </c>
      <c r="M45" s="188">
        <f t="shared" si="7"/>
        <v>115.70680628272252</v>
      </c>
      <c r="N45" s="188">
        <f t="shared" si="8"/>
        <v>116.75392670157068</v>
      </c>
      <c r="O45" s="107">
        <f t="shared" si="9"/>
        <v>113.61256544502616</v>
      </c>
      <c r="P45" s="188">
        <f t="shared" si="10"/>
        <v>116.23036649214657</v>
      </c>
      <c r="Q45" s="188">
        <f t="shared" si="11"/>
        <v>116.75392670157068</v>
      </c>
      <c r="R45" s="188">
        <f t="shared" si="12"/>
        <v>116.75392670157068</v>
      </c>
      <c r="S45" s="188">
        <f t="shared" si="13"/>
        <v>111.51832460732984</v>
      </c>
      <c r="T45" s="188">
        <f t="shared" si="14"/>
        <v>114.13612565445025</v>
      </c>
      <c r="U45" s="188">
        <f t="shared" si="15"/>
        <v>112.565445026178</v>
      </c>
      <c r="V45" s="188">
        <f t="shared" si="16"/>
        <v>120.94240837696336</v>
      </c>
      <c r="W45" s="188">
        <f t="shared" si="17"/>
        <v>119.37172774869109</v>
      </c>
      <c r="X45" s="188">
        <f t="shared" si="26"/>
        <v>113.61256544502616</v>
      </c>
      <c r="Y45" s="188">
        <f t="shared" si="27"/>
        <v>108.90052356020942</v>
      </c>
      <c r="Z45" s="188">
        <f t="shared" si="28"/>
        <v>116.75392670157068</v>
      </c>
      <c r="AA45" s="188">
        <f t="shared" si="29"/>
        <v>117.27748691099475</v>
      </c>
      <c r="AB45" s="188">
        <f t="shared" si="30"/>
        <v>117.27748691099475</v>
      </c>
      <c r="AC45" s="188">
        <f t="shared" si="31"/>
        <v>115.70680628272252</v>
      </c>
      <c r="AD45" s="462">
        <f t="shared" si="32"/>
        <v>117.80104712041883</v>
      </c>
    </row>
    <row r="1048576" spans="26:26" x14ac:dyDescent="0.2">
      <c r="Z1048576" s="73" t="e">
        <f>(Z1048547/D1048547)*100</f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707AF-B6C8-4241-AC2F-2A29777F8C67}">
  <dimension ref="A1:R420"/>
  <sheetViews>
    <sheetView tabSelected="1" zoomScale="67" workbookViewId="0">
      <pane ySplit="1" topLeftCell="A2" activePane="bottomLeft" state="frozen"/>
      <selection pane="bottomLeft" activeCell="A19" sqref="A19"/>
    </sheetView>
  </sheetViews>
  <sheetFormatPr baseColWidth="10" defaultRowHeight="16" x14ac:dyDescent="0.2"/>
  <cols>
    <col min="1" max="1" width="34.33203125" customWidth="1"/>
    <col min="6" max="6" width="14.83203125" customWidth="1"/>
    <col min="7" max="7" width="22.6640625" customWidth="1"/>
    <col min="8" max="8" width="17.83203125" customWidth="1"/>
    <col min="9" max="9" width="15.83203125" customWidth="1"/>
  </cols>
  <sheetData>
    <row r="1" spans="1:18" x14ac:dyDescent="0.2">
      <c r="A1" s="117" t="s">
        <v>35</v>
      </c>
      <c r="B1" s="118" t="s">
        <v>20</v>
      </c>
      <c r="C1" s="118" t="s">
        <v>29</v>
      </c>
      <c r="D1" s="119" t="s">
        <v>21</v>
      </c>
      <c r="E1" s="231" t="s">
        <v>22</v>
      </c>
      <c r="F1" s="120" t="s">
        <v>23</v>
      </c>
      <c r="G1" s="120" t="s">
        <v>24</v>
      </c>
      <c r="H1" s="120" t="s">
        <v>25</v>
      </c>
      <c r="I1" s="121" t="s">
        <v>26</v>
      </c>
      <c r="J1" s="121" t="s">
        <v>27</v>
      </c>
      <c r="K1" s="120" t="s">
        <v>28</v>
      </c>
    </row>
    <row r="2" spans="1:18" x14ac:dyDescent="0.2">
      <c r="A2" s="123" t="s">
        <v>42</v>
      </c>
      <c r="B2" s="124" t="s">
        <v>0</v>
      </c>
      <c r="C2" s="124" t="s">
        <v>36</v>
      </c>
      <c r="D2" s="125">
        <v>1</v>
      </c>
      <c r="E2" s="154">
        <v>20</v>
      </c>
      <c r="F2" s="127">
        <v>100</v>
      </c>
      <c r="G2" s="127">
        <f t="shared" ref="G2:G85" si="0">100-F2</f>
        <v>0</v>
      </c>
      <c r="H2" s="128">
        <f>IF(G2&lt;=1, 0, IF(AND(G2&gt;1, G2&lt;=5), 1, IF(AND(G2&gt;5, G2&lt;=10), 2, IF(AND(G2&gt;10, G2&lt;=15), 3, 4))))</f>
        <v>0</v>
      </c>
      <c r="I2" s="129">
        <v>0</v>
      </c>
      <c r="J2" s="129">
        <v>0</v>
      </c>
      <c r="K2" s="455">
        <f t="shared" ref="K2:K13" si="1">AVERAGE(H2:J2)</f>
        <v>0</v>
      </c>
    </row>
    <row r="3" spans="1:18" x14ac:dyDescent="0.2">
      <c r="A3" s="123"/>
      <c r="B3" s="130"/>
      <c r="C3" s="130"/>
      <c r="D3" s="131">
        <v>3</v>
      </c>
      <c r="E3" s="155">
        <v>15.6</v>
      </c>
      <c r="F3" s="133">
        <f>E3/$E$2*100</f>
        <v>78</v>
      </c>
      <c r="G3" s="133">
        <f t="shared" si="0"/>
        <v>22</v>
      </c>
      <c r="H3" s="134">
        <f t="shared" ref="H3:H69" si="2">IF(G3&lt;=1, 0, IF(AND(G3&gt;1, G3&lt;=5), 1, IF(AND(G3&gt;5, G3&lt;=10), 2, IF(AND(G3&gt;10, G3&lt;=15), 3, 4))))</f>
        <v>4</v>
      </c>
      <c r="I3" s="135">
        <v>0</v>
      </c>
      <c r="J3" s="129">
        <v>0</v>
      </c>
      <c r="K3" s="456">
        <f t="shared" si="1"/>
        <v>1.3333333333333333</v>
      </c>
    </row>
    <row r="4" spans="1:18" x14ac:dyDescent="0.2">
      <c r="A4" s="123"/>
      <c r="B4" s="130"/>
      <c r="C4" s="130"/>
      <c r="D4" s="131">
        <v>5</v>
      </c>
      <c r="E4" s="155">
        <v>15.6</v>
      </c>
      <c r="F4" s="133">
        <f>E4/$E$2*100</f>
        <v>78</v>
      </c>
      <c r="G4" s="133">
        <f t="shared" si="0"/>
        <v>22</v>
      </c>
      <c r="H4" s="134">
        <f t="shared" si="2"/>
        <v>4</v>
      </c>
      <c r="I4" s="135">
        <v>0</v>
      </c>
      <c r="J4" s="129">
        <v>0</v>
      </c>
      <c r="K4" s="456">
        <f t="shared" si="1"/>
        <v>1.3333333333333333</v>
      </c>
    </row>
    <row r="5" spans="1:18" x14ac:dyDescent="0.2">
      <c r="A5" s="123"/>
      <c r="B5" s="130"/>
      <c r="C5" s="130"/>
      <c r="D5" s="131">
        <v>8</v>
      </c>
      <c r="E5" s="156">
        <v>19.2</v>
      </c>
      <c r="F5" s="133">
        <f>E5/$E$2*100</f>
        <v>96</v>
      </c>
      <c r="G5" s="133">
        <f t="shared" si="0"/>
        <v>4</v>
      </c>
      <c r="H5" s="134">
        <f t="shared" si="2"/>
        <v>1</v>
      </c>
      <c r="I5" s="135">
        <v>0</v>
      </c>
      <c r="J5" s="129">
        <v>0</v>
      </c>
      <c r="K5" s="456">
        <f t="shared" si="1"/>
        <v>0.33333333333333331</v>
      </c>
    </row>
    <row r="6" spans="1:18" x14ac:dyDescent="0.2">
      <c r="A6" s="123"/>
      <c r="B6" s="130"/>
      <c r="C6" s="130"/>
      <c r="D6" s="131">
        <v>10</v>
      </c>
      <c r="E6" s="156">
        <v>18.899999999999999</v>
      </c>
      <c r="F6" s="133">
        <f t="shared" ref="F6:F13" si="3">E6/$E$2*100</f>
        <v>94.5</v>
      </c>
      <c r="G6" s="133">
        <f t="shared" si="0"/>
        <v>5.5</v>
      </c>
      <c r="H6" s="134">
        <f t="shared" si="2"/>
        <v>2</v>
      </c>
      <c r="I6" s="135">
        <v>2</v>
      </c>
      <c r="J6" s="129">
        <v>0</v>
      </c>
      <c r="K6" s="456">
        <f t="shared" si="1"/>
        <v>1.3333333333333333</v>
      </c>
    </row>
    <row r="7" spans="1:18" x14ac:dyDescent="0.2">
      <c r="A7" s="123"/>
      <c r="B7" s="130"/>
      <c r="C7" s="130"/>
      <c r="D7" s="131">
        <v>12</v>
      </c>
      <c r="E7" s="156">
        <v>19.8</v>
      </c>
      <c r="F7" s="133">
        <f t="shared" si="3"/>
        <v>99</v>
      </c>
      <c r="G7" s="133">
        <f t="shared" si="0"/>
        <v>1</v>
      </c>
      <c r="H7" s="134">
        <f t="shared" si="2"/>
        <v>0</v>
      </c>
      <c r="I7" s="135">
        <v>3.5</v>
      </c>
      <c r="J7" s="129">
        <v>0</v>
      </c>
      <c r="K7" s="456">
        <f t="shared" si="1"/>
        <v>1.1666666666666667</v>
      </c>
      <c r="M7" s="153"/>
      <c r="N7" s="152"/>
      <c r="O7" s="152"/>
      <c r="P7" s="152"/>
      <c r="Q7" s="152"/>
      <c r="R7" s="152"/>
    </row>
    <row r="8" spans="1:18" x14ac:dyDescent="0.2">
      <c r="A8" s="123"/>
      <c r="B8" s="136"/>
      <c r="C8" s="136" t="s">
        <v>13</v>
      </c>
      <c r="D8" s="137">
        <v>15</v>
      </c>
      <c r="E8" s="156">
        <v>20.7</v>
      </c>
      <c r="F8" s="138">
        <f t="shared" si="3"/>
        <v>103.49999999999999</v>
      </c>
      <c r="G8" s="138">
        <f t="shared" si="0"/>
        <v>-3.4999999999999858</v>
      </c>
      <c r="H8" s="139">
        <f t="shared" si="2"/>
        <v>0</v>
      </c>
      <c r="I8" s="140">
        <v>4</v>
      </c>
      <c r="J8" s="129">
        <v>0</v>
      </c>
      <c r="K8" s="456">
        <f t="shared" si="1"/>
        <v>1.3333333333333333</v>
      </c>
      <c r="M8" s="152"/>
      <c r="N8" s="152"/>
      <c r="O8" s="152"/>
      <c r="P8" s="152"/>
      <c r="Q8" s="152"/>
      <c r="R8" s="152"/>
    </row>
    <row r="9" spans="1:18" x14ac:dyDescent="0.2">
      <c r="A9" s="123"/>
      <c r="B9" s="130"/>
      <c r="C9" s="130" t="s">
        <v>11</v>
      </c>
      <c r="D9" s="131">
        <v>17</v>
      </c>
      <c r="E9" s="132">
        <v>21.8</v>
      </c>
      <c r="F9" s="133">
        <f t="shared" si="3"/>
        <v>109.00000000000001</v>
      </c>
      <c r="G9" s="133">
        <f t="shared" si="0"/>
        <v>-9.0000000000000142</v>
      </c>
      <c r="H9" s="139">
        <f t="shared" si="2"/>
        <v>0</v>
      </c>
      <c r="I9" s="135">
        <v>3</v>
      </c>
      <c r="J9" s="129">
        <v>0</v>
      </c>
      <c r="K9" s="456">
        <f t="shared" si="1"/>
        <v>1</v>
      </c>
      <c r="M9" s="152"/>
    </row>
    <row r="10" spans="1:18" x14ac:dyDescent="0.2">
      <c r="A10" s="123"/>
      <c r="B10" s="130"/>
      <c r="C10" s="130"/>
      <c r="D10" s="131">
        <v>19</v>
      </c>
      <c r="E10" s="132">
        <v>21.8</v>
      </c>
      <c r="F10" s="133">
        <f t="shared" si="3"/>
        <v>109.00000000000001</v>
      </c>
      <c r="G10" s="133">
        <f t="shared" si="0"/>
        <v>-9.0000000000000142</v>
      </c>
      <c r="H10" s="139">
        <f t="shared" si="2"/>
        <v>0</v>
      </c>
      <c r="I10" s="135">
        <v>4</v>
      </c>
      <c r="J10" s="129">
        <v>0</v>
      </c>
      <c r="K10" s="456">
        <f t="shared" si="1"/>
        <v>1.3333333333333333</v>
      </c>
      <c r="M10" s="152"/>
    </row>
    <row r="11" spans="1:18" x14ac:dyDescent="0.2">
      <c r="A11" s="123"/>
      <c r="B11" s="130"/>
      <c r="C11" s="130"/>
      <c r="D11" s="131">
        <v>22</v>
      </c>
      <c r="E11" s="132">
        <v>22.1</v>
      </c>
      <c r="F11" s="133">
        <f t="shared" si="3"/>
        <v>110.5</v>
      </c>
      <c r="G11" s="133">
        <f t="shared" si="0"/>
        <v>-10.5</v>
      </c>
      <c r="H11" s="139">
        <f t="shared" si="2"/>
        <v>0</v>
      </c>
      <c r="I11" s="135">
        <v>1</v>
      </c>
      <c r="J11" s="129">
        <v>0</v>
      </c>
      <c r="K11" s="457">
        <f t="shared" si="1"/>
        <v>0.33333333333333331</v>
      </c>
      <c r="M11" s="152"/>
    </row>
    <row r="12" spans="1:18" x14ac:dyDescent="0.2">
      <c r="A12" s="123"/>
      <c r="B12" s="130"/>
      <c r="C12" s="130"/>
      <c r="D12" s="131">
        <v>24</v>
      </c>
      <c r="E12" s="132">
        <v>22.5</v>
      </c>
      <c r="F12" s="133">
        <f t="shared" si="3"/>
        <v>112.5</v>
      </c>
      <c r="G12" s="133">
        <f t="shared" si="0"/>
        <v>-12.5</v>
      </c>
      <c r="H12" s="139">
        <f t="shared" si="2"/>
        <v>0</v>
      </c>
      <c r="I12" s="135">
        <v>1</v>
      </c>
      <c r="J12" s="129">
        <v>0</v>
      </c>
      <c r="K12" s="457">
        <f t="shared" si="1"/>
        <v>0.33333333333333331</v>
      </c>
      <c r="M12" s="152"/>
    </row>
    <row r="13" spans="1:18" x14ac:dyDescent="0.2">
      <c r="A13" s="123"/>
      <c r="B13" s="141"/>
      <c r="C13" s="141"/>
      <c r="D13" s="142">
        <v>26</v>
      </c>
      <c r="E13" s="143">
        <v>22.8</v>
      </c>
      <c r="F13" s="144">
        <f t="shared" si="3"/>
        <v>114.00000000000001</v>
      </c>
      <c r="G13" s="144">
        <f t="shared" si="0"/>
        <v>-14.000000000000014</v>
      </c>
      <c r="H13" s="139">
        <f t="shared" si="2"/>
        <v>0</v>
      </c>
      <c r="I13" s="146">
        <v>1</v>
      </c>
      <c r="J13" s="129">
        <v>0</v>
      </c>
      <c r="K13" s="457">
        <f t="shared" si="1"/>
        <v>0.33333333333333331</v>
      </c>
    </row>
    <row r="14" spans="1:18" x14ac:dyDescent="0.2">
      <c r="A14" s="123"/>
      <c r="B14" s="141"/>
      <c r="C14" s="141"/>
      <c r="D14" s="142">
        <v>29</v>
      </c>
      <c r="E14" s="143">
        <v>22.9</v>
      </c>
      <c r="F14" s="144">
        <f t="shared" ref="F14" si="4">E14/$E$2*100</f>
        <v>114.5</v>
      </c>
      <c r="G14" s="144">
        <f t="shared" ref="G14" si="5">100-F14</f>
        <v>-14.5</v>
      </c>
      <c r="H14" s="139">
        <f t="shared" ref="H14:H29" si="6">IF(G14&lt;=1, 0, IF(AND(G14&gt;1, G14&lt;=5), 1, IF(AND(G14&gt;5, G14&lt;=10), 2, IF(AND(G14&gt;10, G14&lt;=15), 3, 4))))</f>
        <v>0</v>
      </c>
      <c r="I14" s="146">
        <v>2</v>
      </c>
      <c r="J14" s="129">
        <v>0</v>
      </c>
      <c r="K14" s="457">
        <f t="shared" ref="K14:K29" si="7">AVERAGE(H14:J14)</f>
        <v>0.66666666666666663</v>
      </c>
    </row>
    <row r="15" spans="1:18" x14ac:dyDescent="0.2">
      <c r="A15" s="123"/>
      <c r="B15" s="124"/>
      <c r="C15" s="124" t="s">
        <v>30</v>
      </c>
      <c r="D15" s="125">
        <v>31</v>
      </c>
      <c r="E15" s="126">
        <v>23.2</v>
      </c>
      <c r="F15" s="127">
        <f>E15/$E$2*100</f>
        <v>115.99999999999999</v>
      </c>
      <c r="G15" s="127">
        <f t="shared" si="0"/>
        <v>-15.999999999999986</v>
      </c>
      <c r="H15" s="139">
        <f t="shared" si="6"/>
        <v>0</v>
      </c>
      <c r="I15" s="129">
        <v>1.5</v>
      </c>
      <c r="J15" s="129">
        <v>0</v>
      </c>
      <c r="K15" s="457">
        <f t="shared" si="7"/>
        <v>0.5</v>
      </c>
    </row>
    <row r="16" spans="1:18" x14ac:dyDescent="0.2">
      <c r="A16" s="123"/>
      <c r="B16" s="130"/>
      <c r="C16" s="130"/>
      <c r="D16" s="131">
        <v>33</v>
      </c>
      <c r="E16" s="126">
        <v>23.5</v>
      </c>
      <c r="F16" s="133">
        <f>E16/$E$2*100</f>
        <v>117.5</v>
      </c>
      <c r="G16" s="133">
        <f t="shared" si="0"/>
        <v>-17.5</v>
      </c>
      <c r="H16" s="139">
        <f t="shared" si="6"/>
        <v>0</v>
      </c>
      <c r="I16" s="129">
        <v>1.5</v>
      </c>
      <c r="J16" s="129">
        <v>0</v>
      </c>
      <c r="K16" s="457">
        <f t="shared" si="7"/>
        <v>0.5</v>
      </c>
    </row>
    <row r="17" spans="1:11" x14ac:dyDescent="0.2">
      <c r="A17" s="123"/>
      <c r="B17" s="130"/>
      <c r="C17" s="130" t="s">
        <v>31</v>
      </c>
      <c r="D17" s="131">
        <v>36</v>
      </c>
      <c r="E17" s="405">
        <v>23</v>
      </c>
      <c r="F17" s="133">
        <f t="shared" ref="F17" si="8">E17/$E$2*100</f>
        <v>114.99999999999999</v>
      </c>
      <c r="G17" s="133">
        <f t="shared" si="0"/>
        <v>-14.999999999999986</v>
      </c>
      <c r="H17" s="139">
        <f t="shared" si="6"/>
        <v>0</v>
      </c>
      <c r="I17" s="129">
        <v>2.5</v>
      </c>
      <c r="J17" s="129">
        <v>3</v>
      </c>
      <c r="K17" s="458">
        <f t="shared" si="7"/>
        <v>1.8333333333333333</v>
      </c>
    </row>
    <row r="18" spans="1:11" x14ac:dyDescent="0.2">
      <c r="A18" s="123"/>
      <c r="B18" s="130"/>
      <c r="C18" s="130"/>
      <c r="D18" s="131">
        <v>38</v>
      </c>
      <c r="E18" s="132">
        <v>22.1</v>
      </c>
      <c r="F18" s="133">
        <f>E18/$E$2*100</f>
        <v>110.5</v>
      </c>
      <c r="G18" s="133">
        <f t="shared" si="0"/>
        <v>-10.5</v>
      </c>
      <c r="H18" s="139">
        <f t="shared" si="6"/>
        <v>0</v>
      </c>
      <c r="I18" s="129">
        <v>3</v>
      </c>
      <c r="J18" s="129">
        <v>1</v>
      </c>
      <c r="K18" s="457">
        <f t="shared" si="7"/>
        <v>1.3333333333333333</v>
      </c>
    </row>
    <row r="19" spans="1:11" x14ac:dyDescent="0.2">
      <c r="A19" s="123"/>
      <c r="B19" s="130"/>
      <c r="C19" s="130"/>
      <c r="D19" s="131">
        <v>40</v>
      </c>
      <c r="E19" s="405">
        <v>23</v>
      </c>
      <c r="F19" s="133">
        <f t="shared" ref="F19:F29" si="9">E19/$E$2*100</f>
        <v>114.99999999999999</v>
      </c>
      <c r="G19" s="133">
        <f t="shared" si="0"/>
        <v>-14.999999999999986</v>
      </c>
      <c r="H19" s="139">
        <f t="shared" si="6"/>
        <v>0</v>
      </c>
      <c r="I19" s="129">
        <v>2.5</v>
      </c>
      <c r="J19" s="129">
        <v>1</v>
      </c>
      <c r="K19" s="457">
        <f t="shared" si="7"/>
        <v>1.1666666666666667</v>
      </c>
    </row>
    <row r="20" spans="1:11" x14ac:dyDescent="0.2">
      <c r="A20" s="123"/>
      <c r="B20" s="130"/>
      <c r="C20" s="130" t="s">
        <v>30</v>
      </c>
      <c r="D20" s="131">
        <v>43</v>
      </c>
      <c r="E20" s="132">
        <v>23.5</v>
      </c>
      <c r="F20" s="133">
        <f t="shared" si="9"/>
        <v>117.5</v>
      </c>
      <c r="G20" s="133">
        <f t="shared" si="0"/>
        <v>-17.5</v>
      </c>
      <c r="H20" s="134">
        <f t="shared" si="6"/>
        <v>0</v>
      </c>
      <c r="I20" s="129">
        <v>1.5</v>
      </c>
      <c r="J20" s="129">
        <v>0.5</v>
      </c>
      <c r="K20" s="457">
        <f t="shared" si="7"/>
        <v>0.66666666666666663</v>
      </c>
    </row>
    <row r="21" spans="1:11" x14ac:dyDescent="0.2">
      <c r="A21" s="123"/>
      <c r="B21" s="130"/>
      <c r="C21" s="130"/>
      <c r="D21" s="131">
        <v>45</v>
      </c>
      <c r="E21" s="132">
        <v>24.4</v>
      </c>
      <c r="F21" s="133">
        <f t="shared" si="9"/>
        <v>122</v>
      </c>
      <c r="G21" s="133">
        <f t="shared" si="0"/>
        <v>-22</v>
      </c>
      <c r="H21" s="134">
        <f t="shared" si="6"/>
        <v>0</v>
      </c>
      <c r="I21" s="129">
        <v>1.5</v>
      </c>
      <c r="J21" s="129">
        <v>0.5</v>
      </c>
      <c r="K21" s="457">
        <f t="shared" si="7"/>
        <v>0.66666666666666663</v>
      </c>
    </row>
    <row r="22" spans="1:11" x14ac:dyDescent="0.2">
      <c r="A22" s="123"/>
      <c r="B22" s="141"/>
      <c r="C22" s="141"/>
      <c r="D22" s="142">
        <v>47</v>
      </c>
      <c r="E22" s="143">
        <v>23.8</v>
      </c>
      <c r="F22" s="144">
        <f t="shared" si="9"/>
        <v>119</v>
      </c>
      <c r="G22" s="144">
        <f t="shared" si="0"/>
        <v>-19</v>
      </c>
      <c r="H22" s="145">
        <f t="shared" si="6"/>
        <v>0</v>
      </c>
      <c r="I22" s="192">
        <v>2</v>
      </c>
      <c r="J22" s="129">
        <v>1</v>
      </c>
      <c r="K22" s="457">
        <f t="shared" si="7"/>
        <v>1</v>
      </c>
    </row>
    <row r="23" spans="1:11" x14ac:dyDescent="0.2">
      <c r="A23" s="123"/>
      <c r="B23" s="141"/>
      <c r="C23" s="141" t="s">
        <v>31</v>
      </c>
      <c r="D23" s="142">
        <v>50</v>
      </c>
      <c r="E23" s="143">
        <v>23.1</v>
      </c>
      <c r="F23" s="144">
        <f t="shared" si="9"/>
        <v>115.5</v>
      </c>
      <c r="G23" s="144">
        <f t="shared" si="0"/>
        <v>-15.5</v>
      </c>
      <c r="H23" s="145">
        <f t="shared" si="6"/>
        <v>0</v>
      </c>
      <c r="I23" s="193">
        <v>4</v>
      </c>
      <c r="J23" s="129">
        <v>2</v>
      </c>
      <c r="K23" s="457">
        <f t="shared" si="7"/>
        <v>2</v>
      </c>
    </row>
    <row r="24" spans="1:11" x14ac:dyDescent="0.2">
      <c r="A24" s="123"/>
      <c r="B24" s="141"/>
      <c r="C24" s="141"/>
      <c r="D24" s="142">
        <v>52</v>
      </c>
      <c r="E24" s="143">
        <v>23.1</v>
      </c>
      <c r="F24" s="144">
        <f t="shared" si="9"/>
        <v>115.5</v>
      </c>
      <c r="G24" s="144">
        <f t="shared" si="0"/>
        <v>-15.5</v>
      </c>
      <c r="H24" s="145">
        <f t="shared" si="6"/>
        <v>0</v>
      </c>
      <c r="I24" s="193">
        <v>3</v>
      </c>
      <c r="J24" s="129">
        <v>1</v>
      </c>
      <c r="K24" s="457">
        <f t="shared" si="7"/>
        <v>1.3333333333333333</v>
      </c>
    </row>
    <row r="25" spans="1:11" x14ac:dyDescent="0.2">
      <c r="A25" s="123"/>
      <c r="B25" s="141"/>
      <c r="C25" s="141"/>
      <c r="D25" s="142">
        <v>54</v>
      </c>
      <c r="E25" s="143">
        <v>23.6</v>
      </c>
      <c r="F25" s="144">
        <f t="shared" si="9"/>
        <v>118.00000000000001</v>
      </c>
      <c r="G25" s="144">
        <f t="shared" si="0"/>
        <v>-18.000000000000014</v>
      </c>
      <c r="H25" s="145">
        <f t="shared" si="6"/>
        <v>0</v>
      </c>
      <c r="I25" s="193">
        <v>2.5</v>
      </c>
      <c r="J25" s="129">
        <v>0.5</v>
      </c>
      <c r="K25" s="457">
        <f t="shared" si="7"/>
        <v>1</v>
      </c>
    </row>
    <row r="26" spans="1:11" x14ac:dyDescent="0.2">
      <c r="A26" s="123"/>
      <c r="B26" s="141"/>
      <c r="C26" s="141" t="s">
        <v>30</v>
      </c>
      <c r="D26" s="142">
        <v>57</v>
      </c>
      <c r="E26" s="143">
        <v>24.2</v>
      </c>
      <c r="F26" s="144">
        <f t="shared" si="9"/>
        <v>121</v>
      </c>
      <c r="G26" s="144">
        <f t="shared" si="0"/>
        <v>-21</v>
      </c>
      <c r="H26" s="145">
        <f t="shared" si="6"/>
        <v>0</v>
      </c>
      <c r="I26" s="193">
        <v>1.5</v>
      </c>
      <c r="J26" s="129">
        <v>0.5</v>
      </c>
      <c r="K26" s="457">
        <f t="shared" si="7"/>
        <v>0.66666666666666663</v>
      </c>
    </row>
    <row r="27" spans="1:11" x14ac:dyDescent="0.2">
      <c r="A27" s="123"/>
      <c r="B27" s="141"/>
      <c r="C27" s="141"/>
      <c r="D27" s="142">
        <v>59</v>
      </c>
      <c r="E27" s="143">
        <v>24.2</v>
      </c>
      <c r="F27" s="144">
        <f t="shared" si="9"/>
        <v>121</v>
      </c>
      <c r="G27" s="144">
        <f t="shared" si="0"/>
        <v>-21</v>
      </c>
      <c r="H27" s="145">
        <f t="shared" si="6"/>
        <v>0</v>
      </c>
      <c r="I27" s="193">
        <v>2.5</v>
      </c>
      <c r="J27" s="129">
        <v>2</v>
      </c>
      <c r="K27" s="457">
        <f t="shared" si="7"/>
        <v>1.5</v>
      </c>
    </row>
    <row r="28" spans="1:11" x14ac:dyDescent="0.2">
      <c r="A28" s="123"/>
      <c r="B28" s="141"/>
      <c r="C28" s="141"/>
      <c r="D28" s="142">
        <v>61</v>
      </c>
      <c r="E28" s="143">
        <v>23.8</v>
      </c>
      <c r="F28" s="144">
        <f t="shared" si="9"/>
        <v>119</v>
      </c>
      <c r="G28" s="144">
        <f t="shared" si="0"/>
        <v>-19</v>
      </c>
      <c r="H28" s="145">
        <f t="shared" si="6"/>
        <v>0</v>
      </c>
      <c r="I28" s="193">
        <v>2.5</v>
      </c>
      <c r="J28" s="129">
        <v>1.5</v>
      </c>
      <c r="K28" s="457">
        <f t="shared" si="7"/>
        <v>1.3333333333333333</v>
      </c>
    </row>
    <row r="29" spans="1:11" ht="17" thickBot="1" x14ac:dyDescent="0.25">
      <c r="A29" s="123"/>
      <c r="B29" s="147"/>
      <c r="C29" s="147"/>
      <c r="D29" s="148">
        <v>64</v>
      </c>
      <c r="E29" s="149">
        <v>23.6</v>
      </c>
      <c r="F29" s="150">
        <f t="shared" si="9"/>
        <v>118.00000000000001</v>
      </c>
      <c r="G29" s="150">
        <f t="shared" si="0"/>
        <v>-18.000000000000014</v>
      </c>
      <c r="H29" s="151">
        <f t="shared" si="6"/>
        <v>0</v>
      </c>
      <c r="I29" s="443">
        <v>2.5</v>
      </c>
      <c r="J29" s="444">
        <v>3.5</v>
      </c>
      <c r="K29" s="459">
        <f t="shared" si="7"/>
        <v>2</v>
      </c>
    </row>
    <row r="30" spans="1:11" x14ac:dyDescent="0.2">
      <c r="A30" s="123" t="s">
        <v>42</v>
      </c>
      <c r="B30" s="439" t="s">
        <v>1</v>
      </c>
      <c r="C30" s="439" t="s">
        <v>36</v>
      </c>
      <c r="D30" s="125">
        <v>1</v>
      </c>
      <c r="E30" s="154">
        <v>21.6</v>
      </c>
      <c r="F30" s="440">
        <v>100</v>
      </c>
      <c r="G30" s="440">
        <f t="shared" ref="G30:G55" si="10">100-F30</f>
        <v>0</v>
      </c>
      <c r="H30" s="441">
        <f t="shared" ref="H30:H41" si="11">IF(G30&lt;=1, 0, IF(AND(G30&gt;1, G30&lt;=5), 1, IF(AND(G30&gt;5, G30&lt;=10), 2, IF(AND(G30&gt;10, G30&lt;=15), 3, 4))))</f>
        <v>0</v>
      </c>
      <c r="I30" s="442">
        <v>0</v>
      </c>
      <c r="J30" s="442">
        <v>0</v>
      </c>
      <c r="K30" s="441">
        <f t="shared" ref="K30:K41" si="12">AVERAGE(H30:J30)</f>
        <v>0</v>
      </c>
    </row>
    <row r="31" spans="1:11" x14ac:dyDescent="0.2">
      <c r="A31" s="123"/>
      <c r="B31" s="130"/>
      <c r="C31" s="130"/>
      <c r="D31" s="131">
        <v>3</v>
      </c>
      <c r="E31" s="155">
        <v>18.399999999999999</v>
      </c>
      <c r="F31" s="133">
        <f t="shared" ref="F31:F36" si="13">E31/$E$30*100</f>
        <v>85.185185185185176</v>
      </c>
      <c r="G31" s="133">
        <f t="shared" si="10"/>
        <v>14.814814814814824</v>
      </c>
      <c r="H31" s="134">
        <f t="shared" si="11"/>
        <v>3</v>
      </c>
      <c r="I31" s="135">
        <v>2</v>
      </c>
      <c r="J31" s="129">
        <v>0</v>
      </c>
      <c r="K31" s="134">
        <f t="shared" si="12"/>
        <v>1.6666666666666667</v>
      </c>
    </row>
    <row r="32" spans="1:11" x14ac:dyDescent="0.2">
      <c r="A32" s="123"/>
      <c r="B32" s="130"/>
      <c r="C32" s="130"/>
      <c r="D32" s="131">
        <v>5</v>
      </c>
      <c r="E32" s="155">
        <v>20.3</v>
      </c>
      <c r="F32" s="133">
        <f t="shared" si="13"/>
        <v>93.981481481481481</v>
      </c>
      <c r="G32" s="133">
        <f t="shared" si="10"/>
        <v>6.018518518518519</v>
      </c>
      <c r="H32" s="134">
        <f t="shared" si="11"/>
        <v>2</v>
      </c>
      <c r="I32" s="135">
        <v>2</v>
      </c>
      <c r="J32" s="129">
        <v>0</v>
      </c>
      <c r="K32" s="134">
        <f t="shared" si="12"/>
        <v>1.3333333333333333</v>
      </c>
    </row>
    <row r="33" spans="1:11" x14ac:dyDescent="0.2">
      <c r="A33" s="123"/>
      <c r="B33" s="130"/>
      <c r="C33" s="130"/>
      <c r="D33" s="131">
        <v>8</v>
      </c>
      <c r="E33" s="156">
        <v>23</v>
      </c>
      <c r="F33" s="133">
        <f t="shared" si="13"/>
        <v>106.48148148148147</v>
      </c>
      <c r="G33" s="133">
        <f t="shared" si="10"/>
        <v>-6.4814814814814667</v>
      </c>
      <c r="H33" s="134">
        <f t="shared" si="11"/>
        <v>0</v>
      </c>
      <c r="I33" s="135">
        <v>1.5</v>
      </c>
      <c r="J33" s="129">
        <v>0</v>
      </c>
      <c r="K33" s="134">
        <f t="shared" si="12"/>
        <v>0.5</v>
      </c>
    </row>
    <row r="34" spans="1:11" x14ac:dyDescent="0.2">
      <c r="A34" s="123"/>
      <c r="B34" s="130"/>
      <c r="C34" s="130"/>
      <c r="D34" s="131">
        <v>10</v>
      </c>
      <c r="E34" s="156">
        <v>22.9</v>
      </c>
      <c r="F34" s="133">
        <f t="shared" si="13"/>
        <v>106.0185185185185</v>
      </c>
      <c r="G34" s="133">
        <f t="shared" si="10"/>
        <v>-6.0185185185185048</v>
      </c>
      <c r="H34" s="134">
        <f t="shared" si="11"/>
        <v>0</v>
      </c>
      <c r="I34" s="135">
        <v>2</v>
      </c>
      <c r="J34" s="129">
        <v>0</v>
      </c>
      <c r="K34" s="134">
        <f t="shared" si="12"/>
        <v>0.66666666666666663</v>
      </c>
    </row>
    <row r="35" spans="1:11" x14ac:dyDescent="0.2">
      <c r="A35" s="123"/>
      <c r="B35" s="130"/>
      <c r="C35" s="130"/>
      <c r="D35" s="131">
        <v>12</v>
      </c>
      <c r="E35" s="156">
        <v>22.9</v>
      </c>
      <c r="F35" s="133">
        <f t="shared" si="13"/>
        <v>106.0185185185185</v>
      </c>
      <c r="G35" s="133">
        <f t="shared" si="10"/>
        <v>-6.0185185185185048</v>
      </c>
      <c r="H35" s="134">
        <f t="shared" si="11"/>
        <v>0</v>
      </c>
      <c r="I35" s="135">
        <v>2.5</v>
      </c>
      <c r="J35" s="129">
        <v>0</v>
      </c>
      <c r="K35" s="134">
        <f t="shared" si="12"/>
        <v>0.83333333333333337</v>
      </c>
    </row>
    <row r="36" spans="1:11" x14ac:dyDescent="0.2">
      <c r="A36" s="123"/>
      <c r="B36" s="136"/>
      <c r="C36" s="136" t="s">
        <v>13</v>
      </c>
      <c r="D36" s="137">
        <v>15</v>
      </c>
      <c r="E36" s="156">
        <v>23.7</v>
      </c>
      <c r="F36" s="133">
        <f t="shared" si="13"/>
        <v>109.72222222222221</v>
      </c>
      <c r="G36" s="138">
        <f t="shared" si="10"/>
        <v>-9.7222222222222143</v>
      </c>
      <c r="H36" s="139">
        <f t="shared" si="11"/>
        <v>0</v>
      </c>
      <c r="I36" s="140">
        <v>3.5</v>
      </c>
      <c r="J36" s="129">
        <v>0</v>
      </c>
      <c r="K36" s="134">
        <f t="shared" si="12"/>
        <v>1.1666666666666667</v>
      </c>
    </row>
    <row r="37" spans="1:11" x14ac:dyDescent="0.2">
      <c r="A37" s="123"/>
      <c r="B37" s="130"/>
      <c r="C37" s="130" t="s">
        <v>11</v>
      </c>
      <c r="D37" s="131">
        <v>17</v>
      </c>
      <c r="E37" s="132">
        <v>24.3</v>
      </c>
      <c r="F37" s="133">
        <f t="shared" ref="F37:F54" si="14">E37/$E$30*100</f>
        <v>112.5</v>
      </c>
      <c r="G37" s="133">
        <f t="shared" si="10"/>
        <v>-12.5</v>
      </c>
      <c r="H37" s="139">
        <f t="shared" si="11"/>
        <v>0</v>
      </c>
      <c r="I37" s="135">
        <v>3</v>
      </c>
      <c r="J37" s="129">
        <v>0</v>
      </c>
      <c r="K37" s="194">
        <f t="shared" si="12"/>
        <v>1</v>
      </c>
    </row>
    <row r="38" spans="1:11" x14ac:dyDescent="0.2">
      <c r="A38" s="123"/>
      <c r="B38" s="130"/>
      <c r="C38" s="130"/>
      <c r="D38" s="131">
        <v>19</v>
      </c>
      <c r="E38" s="132">
        <v>24.4</v>
      </c>
      <c r="F38" s="133">
        <f t="shared" si="14"/>
        <v>112.96296296296295</v>
      </c>
      <c r="G38" s="133">
        <f t="shared" si="10"/>
        <v>-12.962962962962948</v>
      </c>
      <c r="H38" s="139">
        <f t="shared" si="11"/>
        <v>0</v>
      </c>
      <c r="I38" s="135">
        <v>2.5</v>
      </c>
      <c r="J38" s="129">
        <v>1</v>
      </c>
      <c r="K38" s="195">
        <f t="shared" si="12"/>
        <v>1.1666666666666667</v>
      </c>
    </row>
    <row r="39" spans="1:11" x14ac:dyDescent="0.2">
      <c r="A39" s="123"/>
      <c r="B39" s="130"/>
      <c r="C39" s="130"/>
      <c r="D39" s="131">
        <v>22</v>
      </c>
      <c r="E39" s="132">
        <v>24.4</v>
      </c>
      <c r="F39" s="133">
        <f t="shared" si="14"/>
        <v>112.96296296296295</v>
      </c>
      <c r="G39" s="133">
        <f t="shared" si="10"/>
        <v>-12.962962962962948</v>
      </c>
      <c r="H39" s="139">
        <f t="shared" si="11"/>
        <v>0</v>
      </c>
      <c r="I39" s="135">
        <v>2.5</v>
      </c>
      <c r="J39" s="129">
        <v>0.5</v>
      </c>
      <c r="K39" s="195">
        <f t="shared" si="12"/>
        <v>1</v>
      </c>
    </row>
    <row r="40" spans="1:11" x14ac:dyDescent="0.2">
      <c r="A40" s="123"/>
      <c r="B40" s="130"/>
      <c r="C40" s="130"/>
      <c r="D40" s="131">
        <v>24</v>
      </c>
      <c r="E40" s="132">
        <v>24.3</v>
      </c>
      <c r="F40" s="133">
        <f t="shared" si="14"/>
        <v>112.5</v>
      </c>
      <c r="G40" s="133">
        <f t="shared" si="10"/>
        <v>-12.5</v>
      </c>
      <c r="H40" s="139">
        <f t="shared" si="11"/>
        <v>0</v>
      </c>
      <c r="I40" s="135">
        <v>2</v>
      </c>
      <c r="J40" s="129">
        <v>0.5</v>
      </c>
      <c r="K40" s="195">
        <f t="shared" si="12"/>
        <v>0.83333333333333337</v>
      </c>
    </row>
    <row r="41" spans="1:11" x14ac:dyDescent="0.2">
      <c r="A41" s="123"/>
      <c r="B41" s="141"/>
      <c r="C41" s="141"/>
      <c r="D41" s="142">
        <v>26</v>
      </c>
      <c r="E41" s="143">
        <v>23.5</v>
      </c>
      <c r="F41" s="133">
        <f t="shared" si="14"/>
        <v>108.79629629629628</v>
      </c>
      <c r="G41" s="144">
        <f t="shared" si="10"/>
        <v>-8.7962962962962763</v>
      </c>
      <c r="H41" s="139">
        <f t="shared" si="11"/>
        <v>0</v>
      </c>
      <c r="I41" s="146">
        <v>0.5</v>
      </c>
      <c r="J41" s="129">
        <v>0</v>
      </c>
      <c r="K41" s="195">
        <f t="shared" si="12"/>
        <v>0.16666666666666666</v>
      </c>
    </row>
    <row r="42" spans="1:11" x14ac:dyDescent="0.2">
      <c r="A42" s="123"/>
      <c r="B42" s="141"/>
      <c r="C42" s="141"/>
      <c r="D42" s="142">
        <v>29</v>
      </c>
      <c r="E42" s="143">
        <v>24.2</v>
      </c>
      <c r="F42" s="133">
        <f t="shared" si="14"/>
        <v>112.03703703703702</v>
      </c>
      <c r="G42" s="144">
        <f t="shared" ref="G42" si="15">100-F42</f>
        <v>-12.037037037037024</v>
      </c>
      <c r="H42" s="139">
        <f t="shared" ref="H42:H45" si="16">IF(G42&lt;=1, 0, IF(AND(G42&gt;1, G42&lt;=5), 1, IF(AND(G42&gt;5, G42&lt;=10), 2, IF(AND(G42&gt;10, G42&lt;=15), 3, 4))))</f>
        <v>0</v>
      </c>
      <c r="I42" s="146">
        <v>1.5</v>
      </c>
      <c r="J42" s="129">
        <v>0</v>
      </c>
      <c r="K42" s="195">
        <f t="shared" ref="K42:K57" si="17">AVERAGE(H42:J42)</f>
        <v>0.5</v>
      </c>
    </row>
    <row r="43" spans="1:11" x14ac:dyDescent="0.2">
      <c r="A43" s="123"/>
      <c r="B43" s="124"/>
      <c r="C43" s="124" t="s">
        <v>30</v>
      </c>
      <c r="D43" s="125">
        <v>31</v>
      </c>
      <c r="E43" s="126">
        <v>24.1</v>
      </c>
      <c r="F43" s="133">
        <f t="shared" si="14"/>
        <v>111.57407407407408</v>
      </c>
      <c r="G43" s="127">
        <f t="shared" si="10"/>
        <v>-11.574074074074076</v>
      </c>
      <c r="H43" s="139">
        <f t="shared" si="16"/>
        <v>0</v>
      </c>
      <c r="I43" s="129">
        <v>1</v>
      </c>
      <c r="J43" s="129">
        <v>0</v>
      </c>
      <c r="K43" s="195">
        <f t="shared" si="17"/>
        <v>0.33333333333333331</v>
      </c>
    </row>
    <row r="44" spans="1:11" x14ac:dyDescent="0.2">
      <c r="A44" s="123"/>
      <c r="B44" s="130"/>
      <c r="C44" s="130"/>
      <c r="D44" s="131">
        <v>33</v>
      </c>
      <c r="E44" s="126">
        <v>24.2</v>
      </c>
      <c r="F44" s="133">
        <f t="shared" si="14"/>
        <v>112.03703703703702</v>
      </c>
      <c r="G44" s="133">
        <f t="shared" si="10"/>
        <v>-12.037037037037024</v>
      </c>
      <c r="H44" s="139">
        <f t="shared" si="16"/>
        <v>0</v>
      </c>
      <c r="I44" s="129">
        <v>1.5</v>
      </c>
      <c r="J44" s="129">
        <v>0.5</v>
      </c>
      <c r="K44" s="195">
        <f t="shared" si="17"/>
        <v>0.66666666666666663</v>
      </c>
    </row>
    <row r="45" spans="1:11" x14ac:dyDescent="0.2">
      <c r="A45" s="123"/>
      <c r="B45" s="130"/>
      <c r="C45" s="130" t="s">
        <v>31</v>
      </c>
      <c r="D45" s="131">
        <v>36</v>
      </c>
      <c r="E45" s="132">
        <v>23.8</v>
      </c>
      <c r="F45" s="133">
        <f t="shared" si="14"/>
        <v>110.18518518518519</v>
      </c>
      <c r="G45" s="133">
        <f t="shared" si="10"/>
        <v>-10.18518518518519</v>
      </c>
      <c r="H45" s="139">
        <f t="shared" si="16"/>
        <v>0</v>
      </c>
      <c r="I45" s="129">
        <v>2</v>
      </c>
      <c r="J45" s="129">
        <v>2</v>
      </c>
      <c r="K45" s="404">
        <f t="shared" si="17"/>
        <v>1.3333333333333333</v>
      </c>
    </row>
    <row r="46" spans="1:11" x14ac:dyDescent="0.2">
      <c r="A46" s="123"/>
      <c r="B46" s="130"/>
      <c r="C46" s="130"/>
      <c r="D46" s="131">
        <v>38</v>
      </c>
      <c r="E46" s="132">
        <v>24.5</v>
      </c>
      <c r="F46" s="133">
        <f t="shared" si="14"/>
        <v>113.42592592592591</v>
      </c>
      <c r="G46" s="133">
        <f t="shared" si="10"/>
        <v>-13.42592592592591</v>
      </c>
      <c r="H46" s="139">
        <f t="shared" ref="H46:H55" si="18">IF(G46&lt;=1, 0, IF(AND(G46&gt;1, G46&lt;=5), 1, IF(AND(G46&gt;5, G46&lt;=10), 2, IF(AND(G46&gt;10, G46&lt;=15), 3, 4))))</f>
        <v>0</v>
      </c>
      <c r="I46" s="129">
        <v>2</v>
      </c>
      <c r="J46" s="129">
        <v>0.5</v>
      </c>
      <c r="K46" s="195">
        <f t="shared" si="17"/>
        <v>0.83333333333333337</v>
      </c>
    </row>
    <row r="47" spans="1:11" x14ac:dyDescent="0.2">
      <c r="A47" s="123"/>
      <c r="B47" s="130"/>
      <c r="C47" s="130"/>
      <c r="D47" s="131">
        <v>40</v>
      </c>
      <c r="E47" s="132">
        <v>23.9</v>
      </c>
      <c r="F47" s="133">
        <f t="shared" si="14"/>
        <v>110.64814814814814</v>
      </c>
      <c r="G47" s="133">
        <f t="shared" si="10"/>
        <v>-10.648148148148138</v>
      </c>
      <c r="H47" s="139">
        <f t="shared" si="18"/>
        <v>0</v>
      </c>
      <c r="I47" s="129">
        <v>4</v>
      </c>
      <c r="J47" s="129">
        <v>0</v>
      </c>
      <c r="K47" s="195">
        <f t="shared" si="17"/>
        <v>1.3333333333333333</v>
      </c>
    </row>
    <row r="48" spans="1:11" x14ac:dyDescent="0.2">
      <c r="A48" s="123"/>
      <c r="B48" s="130"/>
      <c r="C48" s="130" t="s">
        <v>30</v>
      </c>
      <c r="D48" s="131">
        <v>43</v>
      </c>
      <c r="E48" s="132">
        <v>25</v>
      </c>
      <c r="F48" s="133">
        <f t="shared" si="14"/>
        <v>115.74074074074075</v>
      </c>
      <c r="G48" s="133">
        <f t="shared" si="10"/>
        <v>-15.740740740740748</v>
      </c>
      <c r="H48" s="134">
        <f t="shared" si="18"/>
        <v>0</v>
      </c>
      <c r="I48" s="129">
        <v>0.5</v>
      </c>
      <c r="J48" s="129">
        <v>0.5</v>
      </c>
      <c r="K48" s="195">
        <f t="shared" si="17"/>
        <v>0.33333333333333331</v>
      </c>
    </row>
    <row r="49" spans="1:11" x14ac:dyDescent="0.2">
      <c r="A49" s="123"/>
      <c r="B49" s="130"/>
      <c r="C49" s="130"/>
      <c r="D49" s="131">
        <v>45</v>
      </c>
      <c r="E49" s="132">
        <v>25.5</v>
      </c>
      <c r="F49" s="133">
        <f t="shared" si="14"/>
        <v>118.05555555555556</v>
      </c>
      <c r="G49" s="133">
        <f t="shared" si="10"/>
        <v>-18.055555555555557</v>
      </c>
      <c r="H49" s="134">
        <f t="shared" si="18"/>
        <v>0</v>
      </c>
      <c r="I49" s="129">
        <v>2.5</v>
      </c>
      <c r="J49" s="129">
        <v>1</v>
      </c>
      <c r="K49" s="195">
        <f t="shared" si="17"/>
        <v>1.1666666666666667</v>
      </c>
    </row>
    <row r="50" spans="1:11" x14ac:dyDescent="0.2">
      <c r="A50" s="123"/>
      <c r="B50" s="141"/>
      <c r="C50" s="141"/>
      <c r="D50" s="142">
        <v>47</v>
      </c>
      <c r="E50" s="410">
        <v>25</v>
      </c>
      <c r="F50" s="144">
        <f t="shared" si="14"/>
        <v>115.74074074074075</v>
      </c>
      <c r="G50" s="144">
        <f t="shared" si="10"/>
        <v>-15.740740740740748</v>
      </c>
      <c r="H50" s="145">
        <f t="shared" si="18"/>
        <v>0</v>
      </c>
      <c r="I50" s="192">
        <v>2.5</v>
      </c>
      <c r="J50" s="129">
        <v>2.5</v>
      </c>
      <c r="K50" s="195">
        <f t="shared" si="17"/>
        <v>1.6666666666666667</v>
      </c>
    </row>
    <row r="51" spans="1:11" x14ac:dyDescent="0.2">
      <c r="A51" s="123"/>
      <c r="B51" s="141"/>
      <c r="C51" s="141" t="s">
        <v>31</v>
      </c>
      <c r="D51" s="142">
        <v>50</v>
      </c>
      <c r="E51" s="143">
        <v>24.4</v>
      </c>
      <c r="F51" s="144">
        <f t="shared" si="14"/>
        <v>112.96296296296295</v>
      </c>
      <c r="G51" s="144">
        <f t="shared" si="10"/>
        <v>-12.962962962962948</v>
      </c>
      <c r="H51" s="145">
        <f t="shared" si="18"/>
        <v>0</v>
      </c>
      <c r="I51" s="193">
        <v>4</v>
      </c>
      <c r="J51" s="129">
        <v>0</v>
      </c>
      <c r="K51" s="195">
        <f t="shared" si="17"/>
        <v>1.3333333333333333</v>
      </c>
    </row>
    <row r="52" spans="1:11" x14ac:dyDescent="0.2">
      <c r="A52" s="123"/>
      <c r="B52" s="141"/>
      <c r="C52" s="141"/>
      <c r="D52" s="142">
        <v>52</v>
      </c>
      <c r="E52" s="143">
        <v>24.1</v>
      </c>
      <c r="F52" s="144">
        <f t="shared" si="14"/>
        <v>111.57407407407408</v>
      </c>
      <c r="G52" s="144">
        <f t="shared" si="10"/>
        <v>-11.574074074074076</v>
      </c>
      <c r="H52" s="145">
        <f t="shared" si="18"/>
        <v>0</v>
      </c>
      <c r="I52" s="193">
        <v>3.5</v>
      </c>
      <c r="J52" s="129">
        <v>0.5</v>
      </c>
      <c r="K52" s="195">
        <f t="shared" si="17"/>
        <v>1.3333333333333333</v>
      </c>
    </row>
    <row r="53" spans="1:11" x14ac:dyDescent="0.2">
      <c r="A53" s="123"/>
      <c r="B53" s="141"/>
      <c r="C53" s="141"/>
      <c r="D53" s="142">
        <v>54</v>
      </c>
      <c r="E53" s="143">
        <v>24.6</v>
      </c>
      <c r="F53" s="144">
        <f t="shared" si="14"/>
        <v>113.88888888888889</v>
      </c>
      <c r="G53" s="144">
        <f t="shared" si="10"/>
        <v>-13.888888888888886</v>
      </c>
      <c r="H53" s="145">
        <f t="shared" si="18"/>
        <v>0</v>
      </c>
      <c r="I53" s="193">
        <v>2</v>
      </c>
      <c r="J53" s="129">
        <v>0</v>
      </c>
      <c r="K53" s="195">
        <f t="shared" si="17"/>
        <v>0.66666666666666663</v>
      </c>
    </row>
    <row r="54" spans="1:11" x14ac:dyDescent="0.2">
      <c r="A54" s="123"/>
      <c r="B54" s="141"/>
      <c r="C54" s="141" t="s">
        <v>30</v>
      </c>
      <c r="D54" s="142">
        <v>57</v>
      </c>
      <c r="E54" s="143">
        <v>24.8</v>
      </c>
      <c r="F54" s="144">
        <f t="shared" si="14"/>
        <v>114.81481481481481</v>
      </c>
      <c r="G54" s="144">
        <f t="shared" si="10"/>
        <v>-14.81481481481481</v>
      </c>
      <c r="H54" s="145">
        <f t="shared" si="18"/>
        <v>0</v>
      </c>
      <c r="I54" s="193">
        <v>2</v>
      </c>
      <c r="J54" s="129">
        <v>0</v>
      </c>
      <c r="K54" s="195">
        <f t="shared" si="17"/>
        <v>0.66666666666666663</v>
      </c>
    </row>
    <row r="55" spans="1:11" x14ac:dyDescent="0.2">
      <c r="A55" s="123"/>
      <c r="B55" s="141"/>
      <c r="C55" s="141"/>
      <c r="D55" s="142">
        <v>59</v>
      </c>
      <c r="E55" s="143">
        <v>25.1</v>
      </c>
      <c r="F55" s="144">
        <f>E55/$E$30*100</f>
        <v>116.2037037037037</v>
      </c>
      <c r="G55" s="144">
        <f t="shared" si="10"/>
        <v>-16.203703703703695</v>
      </c>
      <c r="H55" s="145">
        <f t="shared" si="18"/>
        <v>0</v>
      </c>
      <c r="I55" s="193">
        <v>3.5</v>
      </c>
      <c r="J55" s="129">
        <v>0.5</v>
      </c>
      <c r="K55" s="195">
        <f t="shared" si="17"/>
        <v>1.3333333333333333</v>
      </c>
    </row>
    <row r="56" spans="1:11" x14ac:dyDescent="0.2">
      <c r="A56" s="123"/>
      <c r="B56" s="141"/>
      <c r="C56" s="141"/>
      <c r="D56" s="142">
        <v>61</v>
      </c>
      <c r="E56" s="410">
        <v>25</v>
      </c>
      <c r="F56" s="144">
        <f>E56/$E$30*100</f>
        <v>115.74074074074075</v>
      </c>
      <c r="G56" s="144">
        <f>100-F56</f>
        <v>-15.740740740740748</v>
      </c>
      <c r="H56" s="145">
        <f>IF(G56&lt;=1, 0, IF(AND(G56&gt;1, G56&lt;=5), 1, IF(AND(G56&gt;5, G56&lt;=10), 2, IF(AND(G56&gt;10, G56&lt;=15), 3, 4))))</f>
        <v>0</v>
      </c>
      <c r="I56" s="193">
        <v>3.5</v>
      </c>
      <c r="J56" s="129">
        <v>1</v>
      </c>
      <c r="K56" s="195">
        <f t="shared" si="17"/>
        <v>1.5</v>
      </c>
    </row>
    <row r="57" spans="1:11" ht="17" thickBot="1" x14ac:dyDescent="0.25">
      <c r="A57" s="123"/>
      <c r="B57" s="147"/>
      <c r="C57" s="147"/>
      <c r="D57" s="148">
        <v>64</v>
      </c>
      <c r="E57" s="149">
        <v>24.8</v>
      </c>
      <c r="F57" s="150">
        <f>E57/$E$30*100</f>
        <v>114.81481481481481</v>
      </c>
      <c r="G57" s="150">
        <f>100-F57</f>
        <v>-14.81481481481481</v>
      </c>
      <c r="H57" s="151">
        <f>IF(G57&lt;=1, 0, IF(AND(G57&gt;1, G57&lt;=5), 1, IF(AND(G57&gt;5, G57&lt;=10), 2, IF(AND(G57&gt;10, G57&lt;=15), 3, 4))))</f>
        <v>0</v>
      </c>
      <c r="I57" s="443">
        <v>3</v>
      </c>
      <c r="J57" s="444">
        <v>1.5</v>
      </c>
      <c r="K57" s="464">
        <f t="shared" si="17"/>
        <v>1.5</v>
      </c>
    </row>
    <row r="58" spans="1:11" x14ac:dyDescent="0.2">
      <c r="A58" s="123" t="s">
        <v>42</v>
      </c>
      <c r="B58" s="190" t="s">
        <v>2</v>
      </c>
      <c r="C58" s="190" t="s">
        <v>37</v>
      </c>
      <c r="D58" s="125">
        <v>1</v>
      </c>
      <c r="E58" s="203">
        <v>19.399999999999999</v>
      </c>
      <c r="F58" s="204">
        <v>100</v>
      </c>
      <c r="G58" s="204">
        <f t="shared" si="0"/>
        <v>0</v>
      </c>
      <c r="H58" s="205">
        <f t="shared" si="2"/>
        <v>0</v>
      </c>
      <c r="I58" s="189">
        <v>0</v>
      </c>
      <c r="J58" s="189">
        <v>0</v>
      </c>
      <c r="K58" s="441">
        <f t="shared" ref="K58:K69" si="19">AVERAGE(H58:J58)</f>
        <v>0</v>
      </c>
    </row>
    <row r="59" spans="1:11" x14ac:dyDescent="0.2">
      <c r="A59" s="123"/>
      <c r="B59" s="206"/>
      <c r="C59" s="206"/>
      <c r="D59" s="131">
        <v>3</v>
      </c>
      <c r="E59" s="208">
        <v>17.5</v>
      </c>
      <c r="F59" s="209">
        <f>E59/E58*100</f>
        <v>90.206185567010309</v>
      </c>
      <c r="G59" s="209">
        <f t="shared" si="0"/>
        <v>9.7938144329896915</v>
      </c>
      <c r="H59" s="210">
        <f t="shared" si="2"/>
        <v>2</v>
      </c>
      <c r="I59" s="211">
        <v>3</v>
      </c>
      <c r="J59" s="211">
        <v>0</v>
      </c>
      <c r="K59" s="134">
        <f t="shared" si="19"/>
        <v>1.6666666666666667</v>
      </c>
    </row>
    <row r="60" spans="1:11" x14ac:dyDescent="0.2">
      <c r="A60" s="123"/>
      <c r="B60" s="206"/>
      <c r="C60" s="206"/>
      <c r="D60" s="131">
        <v>5</v>
      </c>
      <c r="E60" s="208">
        <v>17.5</v>
      </c>
      <c r="F60" s="209">
        <f>E60/E58*100</f>
        <v>90.206185567010309</v>
      </c>
      <c r="G60" s="209">
        <f t="shared" si="0"/>
        <v>9.7938144329896915</v>
      </c>
      <c r="H60" s="210">
        <f t="shared" si="2"/>
        <v>2</v>
      </c>
      <c r="I60" s="211">
        <v>3</v>
      </c>
      <c r="J60" s="211">
        <v>0</v>
      </c>
      <c r="K60" s="134">
        <f t="shared" si="19"/>
        <v>1.6666666666666667</v>
      </c>
    </row>
    <row r="61" spans="1:11" x14ac:dyDescent="0.2">
      <c r="A61" s="123"/>
      <c r="B61" s="206"/>
      <c r="C61" s="206"/>
      <c r="D61" s="131">
        <v>8</v>
      </c>
      <c r="E61" s="208">
        <v>20.5</v>
      </c>
      <c r="F61" s="209">
        <f>E61/E58*100</f>
        <v>105.67010309278351</v>
      </c>
      <c r="G61" s="209">
        <f t="shared" si="0"/>
        <v>-5.6701030927835063</v>
      </c>
      <c r="H61" s="210">
        <f t="shared" si="2"/>
        <v>0</v>
      </c>
      <c r="I61" s="211">
        <v>1.5</v>
      </c>
      <c r="J61" s="211">
        <v>0</v>
      </c>
      <c r="K61" s="134">
        <f t="shared" si="19"/>
        <v>0.5</v>
      </c>
    </row>
    <row r="62" spans="1:11" x14ac:dyDescent="0.2">
      <c r="A62" s="123"/>
      <c r="B62" s="206"/>
      <c r="C62" s="206"/>
      <c r="D62" s="131">
        <v>10</v>
      </c>
      <c r="E62" s="208">
        <v>20.8</v>
      </c>
      <c r="F62" s="209">
        <f>E62/E58*100</f>
        <v>107.21649484536084</v>
      </c>
      <c r="G62" s="209">
        <f t="shared" si="0"/>
        <v>-7.2164948453608417</v>
      </c>
      <c r="H62" s="210">
        <f t="shared" si="2"/>
        <v>0</v>
      </c>
      <c r="I62" s="211">
        <v>2</v>
      </c>
      <c r="J62" s="211">
        <v>0</v>
      </c>
      <c r="K62" s="134">
        <f t="shared" si="19"/>
        <v>0.66666666666666663</v>
      </c>
    </row>
    <row r="63" spans="1:11" x14ac:dyDescent="0.2">
      <c r="A63" s="123"/>
      <c r="B63" s="206"/>
      <c r="C63" s="206"/>
      <c r="D63" s="131">
        <v>12</v>
      </c>
      <c r="E63" s="208">
        <v>21.4</v>
      </c>
      <c r="F63" s="209">
        <f>E63/E58*100</f>
        <v>110.30927835051547</v>
      </c>
      <c r="G63" s="209">
        <f t="shared" si="0"/>
        <v>-10.30927835051547</v>
      </c>
      <c r="H63" s="210">
        <f t="shared" si="2"/>
        <v>0</v>
      </c>
      <c r="I63" s="211">
        <v>2.5</v>
      </c>
      <c r="J63" s="211">
        <v>1</v>
      </c>
      <c r="K63" s="134">
        <f t="shared" si="19"/>
        <v>1.1666666666666667</v>
      </c>
    </row>
    <row r="64" spans="1:11" x14ac:dyDescent="0.2">
      <c r="A64" s="123"/>
      <c r="B64" s="206"/>
      <c r="C64" s="213" t="s">
        <v>13</v>
      </c>
      <c r="D64" s="137">
        <v>15</v>
      </c>
      <c r="E64" s="393">
        <v>22</v>
      </c>
      <c r="F64" s="209">
        <f>E64/E58*100</f>
        <v>113.40206185567013</v>
      </c>
      <c r="G64" s="209">
        <f t="shared" si="0"/>
        <v>-13.402061855670127</v>
      </c>
      <c r="H64" s="210">
        <f t="shared" si="2"/>
        <v>0</v>
      </c>
      <c r="I64" s="211">
        <v>3.5</v>
      </c>
      <c r="J64" s="211">
        <v>1</v>
      </c>
      <c r="K64" s="212">
        <f t="shared" si="19"/>
        <v>1.5</v>
      </c>
    </row>
    <row r="65" spans="1:11" x14ac:dyDescent="0.2">
      <c r="A65" s="123"/>
      <c r="B65" s="206"/>
      <c r="C65" s="206" t="s">
        <v>11</v>
      </c>
      <c r="D65" s="131">
        <v>17</v>
      </c>
      <c r="E65" s="208">
        <v>22.4</v>
      </c>
      <c r="F65" s="209">
        <f>E65/E58*100</f>
        <v>115.46391752577321</v>
      </c>
      <c r="G65" s="209">
        <f t="shared" si="0"/>
        <v>-15.463917525773212</v>
      </c>
      <c r="H65" s="210">
        <f t="shared" si="2"/>
        <v>0</v>
      </c>
      <c r="I65" s="211">
        <v>2.5</v>
      </c>
      <c r="J65" s="211">
        <v>0</v>
      </c>
      <c r="K65" s="212">
        <f t="shared" si="19"/>
        <v>0.83333333333333337</v>
      </c>
    </row>
    <row r="66" spans="1:11" x14ac:dyDescent="0.2">
      <c r="A66" s="123"/>
      <c r="B66" s="206"/>
      <c r="C66" s="206"/>
      <c r="D66" s="131">
        <v>19</v>
      </c>
      <c r="E66" s="208">
        <v>21.7</v>
      </c>
      <c r="F66" s="209">
        <f>E66/E58*100</f>
        <v>111.85567010309279</v>
      </c>
      <c r="G66" s="209">
        <f t="shared" si="0"/>
        <v>-11.855670103092791</v>
      </c>
      <c r="H66" s="210">
        <f t="shared" si="2"/>
        <v>0</v>
      </c>
      <c r="I66" s="211">
        <v>3</v>
      </c>
      <c r="J66" s="211">
        <v>0</v>
      </c>
      <c r="K66" s="212">
        <f t="shared" si="19"/>
        <v>1</v>
      </c>
    </row>
    <row r="67" spans="1:11" x14ac:dyDescent="0.2">
      <c r="A67" s="123"/>
      <c r="B67" s="206"/>
      <c r="C67" s="206"/>
      <c r="D67" s="131">
        <v>22</v>
      </c>
      <c r="E67" s="208">
        <v>22.5</v>
      </c>
      <c r="F67" s="209">
        <f>E67/E58*100</f>
        <v>115.97938144329898</v>
      </c>
      <c r="G67" s="209">
        <f t="shared" si="0"/>
        <v>-15.979381443298976</v>
      </c>
      <c r="H67" s="210">
        <f t="shared" si="2"/>
        <v>0</v>
      </c>
      <c r="I67" s="211">
        <v>2.5</v>
      </c>
      <c r="J67" s="211">
        <v>1</v>
      </c>
      <c r="K67" s="212">
        <f t="shared" si="19"/>
        <v>1.1666666666666667</v>
      </c>
    </row>
    <row r="68" spans="1:11" x14ac:dyDescent="0.2">
      <c r="A68" s="123"/>
      <c r="B68" s="206"/>
      <c r="C68" s="206"/>
      <c r="D68" s="131">
        <v>24</v>
      </c>
      <c r="E68" s="208">
        <v>22.4</v>
      </c>
      <c r="F68" s="209">
        <f>E68/E58*100</f>
        <v>115.46391752577321</v>
      </c>
      <c r="G68" s="209">
        <f t="shared" si="0"/>
        <v>-15.463917525773212</v>
      </c>
      <c r="H68" s="210">
        <f t="shared" si="2"/>
        <v>0</v>
      </c>
      <c r="I68" s="211">
        <v>1</v>
      </c>
      <c r="J68" s="211">
        <v>0.5</v>
      </c>
      <c r="K68" s="212">
        <f t="shared" si="19"/>
        <v>0.5</v>
      </c>
    </row>
    <row r="69" spans="1:11" x14ac:dyDescent="0.2">
      <c r="A69" s="123"/>
      <c r="B69" s="206"/>
      <c r="C69" s="206"/>
      <c r="D69" s="142">
        <v>26</v>
      </c>
      <c r="E69" s="393">
        <v>23</v>
      </c>
      <c r="F69" s="209">
        <f>E69/E58*100</f>
        <v>118.55670103092784</v>
      </c>
      <c r="G69" s="209">
        <f t="shared" si="0"/>
        <v>-18.55670103092784</v>
      </c>
      <c r="H69" s="210">
        <f t="shared" si="2"/>
        <v>0</v>
      </c>
      <c r="I69" s="211">
        <v>0</v>
      </c>
      <c r="J69" s="211">
        <v>0.5</v>
      </c>
      <c r="K69" s="212">
        <f t="shared" si="19"/>
        <v>0.16666666666666666</v>
      </c>
    </row>
    <row r="70" spans="1:11" x14ac:dyDescent="0.2">
      <c r="A70" s="123"/>
      <c r="B70" s="206"/>
      <c r="C70" s="206"/>
      <c r="D70" s="142">
        <v>29</v>
      </c>
      <c r="E70" s="393">
        <v>22.4</v>
      </c>
      <c r="F70" s="209">
        <f>E70/E58*100</f>
        <v>115.46391752577321</v>
      </c>
      <c r="G70" s="209">
        <f t="shared" ref="G70" si="20">100-F70</f>
        <v>-15.463917525773212</v>
      </c>
      <c r="H70" s="210">
        <f t="shared" ref="H70:H85" si="21">IF(G70&lt;=1, 0, IF(AND(G70&gt;1, G70&lt;=5), 1, IF(AND(G70&gt;5, G70&lt;=10), 2, IF(AND(G70&gt;10, G70&lt;=15), 3, 4))))</f>
        <v>0</v>
      </c>
      <c r="I70" s="211">
        <v>0.5</v>
      </c>
      <c r="J70" s="211">
        <v>0.5</v>
      </c>
      <c r="K70" s="212">
        <f t="shared" ref="K70:K85" si="22">AVERAGE(H70:J70)</f>
        <v>0.33333333333333331</v>
      </c>
    </row>
    <row r="71" spans="1:11" x14ac:dyDescent="0.2">
      <c r="A71" s="123"/>
      <c r="B71" s="206"/>
      <c r="C71" s="206" t="s">
        <v>30</v>
      </c>
      <c r="D71" s="125">
        <v>31</v>
      </c>
      <c r="E71" s="208">
        <v>22.2</v>
      </c>
      <c r="F71" s="209">
        <f>E71/E59*100</f>
        <v>126.85714285714285</v>
      </c>
      <c r="G71" s="209">
        <f t="shared" si="0"/>
        <v>-26.857142857142847</v>
      </c>
      <c r="H71" s="210">
        <f t="shared" si="21"/>
        <v>0</v>
      </c>
      <c r="I71" s="211">
        <v>0.5</v>
      </c>
      <c r="J71" s="211">
        <v>0</v>
      </c>
      <c r="K71" s="212">
        <f t="shared" si="22"/>
        <v>0.16666666666666666</v>
      </c>
    </row>
    <row r="72" spans="1:11" x14ac:dyDescent="0.2">
      <c r="A72" s="123"/>
      <c r="B72" s="206"/>
      <c r="C72" s="206"/>
      <c r="D72" s="131">
        <v>33</v>
      </c>
      <c r="E72" s="208">
        <v>22.2</v>
      </c>
      <c r="F72" s="209">
        <f>E72/E60*100</f>
        <v>126.85714285714285</v>
      </c>
      <c r="G72" s="209">
        <f t="shared" si="0"/>
        <v>-26.857142857142847</v>
      </c>
      <c r="H72" s="210">
        <f t="shared" si="21"/>
        <v>0</v>
      </c>
      <c r="I72" s="211">
        <v>1</v>
      </c>
      <c r="J72" s="211">
        <v>0.5</v>
      </c>
      <c r="K72" s="212">
        <f t="shared" si="22"/>
        <v>0.5</v>
      </c>
    </row>
    <row r="73" spans="1:11" x14ac:dyDescent="0.2">
      <c r="A73" s="123"/>
      <c r="B73" s="206"/>
      <c r="C73" s="206" t="s">
        <v>31</v>
      </c>
      <c r="D73" s="131">
        <v>36</v>
      </c>
      <c r="E73" s="208">
        <v>22.5</v>
      </c>
      <c r="F73" s="209">
        <f>E73/E58*100</f>
        <v>115.97938144329898</v>
      </c>
      <c r="G73" s="209">
        <f t="shared" si="0"/>
        <v>-15.979381443298976</v>
      </c>
      <c r="H73" s="210">
        <f t="shared" si="21"/>
        <v>0</v>
      </c>
      <c r="I73" s="211">
        <v>2.5</v>
      </c>
      <c r="J73" s="211">
        <v>2.5</v>
      </c>
      <c r="K73" s="212">
        <f t="shared" si="22"/>
        <v>1.6666666666666667</v>
      </c>
    </row>
    <row r="74" spans="1:11" x14ac:dyDescent="0.2">
      <c r="A74" s="123"/>
      <c r="B74" s="206"/>
      <c r="C74" s="206"/>
      <c r="D74" s="131">
        <v>38</v>
      </c>
      <c r="E74" s="208">
        <v>23.2</v>
      </c>
      <c r="F74" s="209">
        <f>E74/E58*100</f>
        <v>119.58762886597938</v>
      </c>
      <c r="G74" s="209">
        <f t="shared" si="0"/>
        <v>-19.587628865979383</v>
      </c>
      <c r="H74" s="210">
        <f t="shared" si="21"/>
        <v>0</v>
      </c>
      <c r="I74" s="211">
        <v>3</v>
      </c>
      <c r="J74" s="211">
        <v>0</v>
      </c>
      <c r="K74" s="212">
        <f t="shared" si="22"/>
        <v>1</v>
      </c>
    </row>
    <row r="75" spans="1:11" x14ac:dyDescent="0.2">
      <c r="A75" s="123"/>
      <c r="B75" s="206"/>
      <c r="C75" s="206"/>
      <c r="D75" s="131">
        <v>40</v>
      </c>
      <c r="E75" s="208">
        <v>23.2</v>
      </c>
      <c r="F75" s="209">
        <f>E75/E58*100</f>
        <v>119.58762886597938</v>
      </c>
      <c r="G75" s="209">
        <f t="shared" si="0"/>
        <v>-19.587628865979383</v>
      </c>
      <c r="H75" s="210">
        <f t="shared" si="21"/>
        <v>0</v>
      </c>
      <c r="I75" s="211">
        <v>2.5</v>
      </c>
      <c r="J75" s="211">
        <v>0</v>
      </c>
      <c r="K75" s="212">
        <f t="shared" si="22"/>
        <v>0.83333333333333337</v>
      </c>
    </row>
    <row r="76" spans="1:11" x14ac:dyDescent="0.2">
      <c r="A76" s="123"/>
      <c r="B76" s="206"/>
      <c r="C76" s="206" t="s">
        <v>30</v>
      </c>
      <c r="D76" s="131">
        <v>43</v>
      </c>
      <c r="E76" s="208">
        <v>23.2</v>
      </c>
      <c r="F76" s="209">
        <f>E76/E58*100</f>
        <v>119.58762886597938</v>
      </c>
      <c r="G76" s="209">
        <f t="shared" si="0"/>
        <v>-19.587628865979383</v>
      </c>
      <c r="H76" s="210">
        <f t="shared" si="21"/>
        <v>0</v>
      </c>
      <c r="I76" s="211">
        <v>1</v>
      </c>
      <c r="J76" s="211">
        <v>0</v>
      </c>
      <c r="K76" s="212">
        <f t="shared" si="22"/>
        <v>0.33333333333333331</v>
      </c>
    </row>
    <row r="77" spans="1:11" x14ac:dyDescent="0.2">
      <c r="A77" s="123"/>
      <c r="B77" s="206"/>
      <c r="C77" s="206"/>
      <c r="D77" s="131">
        <v>45</v>
      </c>
      <c r="E77" s="208">
        <v>24.6</v>
      </c>
      <c r="F77" s="209">
        <f>E77/E58*100</f>
        <v>126.80412371134022</v>
      </c>
      <c r="G77" s="209">
        <f t="shared" si="0"/>
        <v>-26.804123711340225</v>
      </c>
      <c r="H77" s="210">
        <f t="shared" si="21"/>
        <v>0</v>
      </c>
      <c r="I77" s="211">
        <v>1</v>
      </c>
      <c r="J77" s="211">
        <v>1</v>
      </c>
      <c r="K77" s="212">
        <f t="shared" si="22"/>
        <v>0.66666666666666663</v>
      </c>
    </row>
    <row r="78" spans="1:11" x14ac:dyDescent="0.2">
      <c r="A78" s="123"/>
      <c r="B78" s="206"/>
      <c r="C78" s="206"/>
      <c r="D78" s="142">
        <v>47</v>
      </c>
      <c r="E78" s="393">
        <v>24</v>
      </c>
      <c r="F78" s="209">
        <f>E78/E58*100</f>
        <v>123.71134020618557</v>
      </c>
      <c r="G78" s="209">
        <f t="shared" si="0"/>
        <v>-23.711340206185568</v>
      </c>
      <c r="H78" s="210">
        <f t="shared" si="21"/>
        <v>0</v>
      </c>
      <c r="I78" s="211">
        <v>1.5</v>
      </c>
      <c r="J78" s="211">
        <v>2</v>
      </c>
      <c r="K78" s="212">
        <f t="shared" si="22"/>
        <v>1.1666666666666667</v>
      </c>
    </row>
    <row r="79" spans="1:11" x14ac:dyDescent="0.2">
      <c r="A79" s="123"/>
      <c r="B79" s="206"/>
      <c r="C79" s="206" t="s">
        <v>31</v>
      </c>
      <c r="D79" s="142">
        <v>50</v>
      </c>
      <c r="E79" s="208">
        <v>24.2</v>
      </c>
      <c r="F79" s="209">
        <f>E79/E58*100</f>
        <v>124.74226804123711</v>
      </c>
      <c r="G79" s="209">
        <f t="shared" si="0"/>
        <v>-24.742268041237111</v>
      </c>
      <c r="H79" s="210">
        <f t="shared" si="21"/>
        <v>0</v>
      </c>
      <c r="I79" s="211">
        <v>3.5</v>
      </c>
      <c r="J79" s="211">
        <v>2.5</v>
      </c>
      <c r="K79" s="212">
        <f t="shared" si="22"/>
        <v>2</v>
      </c>
    </row>
    <row r="80" spans="1:11" x14ac:dyDescent="0.2">
      <c r="A80" s="123"/>
      <c r="B80" s="206"/>
      <c r="C80" s="206"/>
      <c r="D80" s="142">
        <v>52</v>
      </c>
      <c r="E80" s="208">
        <v>23.7</v>
      </c>
      <c r="F80" s="209">
        <f>E80/E58*100</f>
        <v>122.16494845360826</v>
      </c>
      <c r="G80" s="209">
        <f t="shared" si="0"/>
        <v>-22.164948453608261</v>
      </c>
      <c r="H80" s="210">
        <f t="shared" si="21"/>
        <v>0</v>
      </c>
      <c r="I80" s="211">
        <v>3.5</v>
      </c>
      <c r="J80" s="211">
        <v>1</v>
      </c>
      <c r="K80" s="212">
        <f t="shared" si="22"/>
        <v>1.5</v>
      </c>
    </row>
    <row r="81" spans="1:11" x14ac:dyDescent="0.2">
      <c r="A81" s="123"/>
      <c r="B81" s="206"/>
      <c r="C81" s="206"/>
      <c r="D81" s="142">
        <v>54</v>
      </c>
      <c r="E81" s="208">
        <v>24.9</v>
      </c>
      <c r="F81" s="209">
        <f>E81/E58*100</f>
        <v>128.35051546391753</v>
      </c>
      <c r="G81" s="209">
        <f t="shared" si="0"/>
        <v>-28.350515463917532</v>
      </c>
      <c r="H81" s="210">
        <f t="shared" si="21"/>
        <v>0</v>
      </c>
      <c r="I81" s="211">
        <v>2.5</v>
      </c>
      <c r="J81" s="211">
        <v>1</v>
      </c>
      <c r="K81" s="212">
        <f t="shared" si="22"/>
        <v>1.1666666666666667</v>
      </c>
    </row>
    <row r="82" spans="1:11" x14ac:dyDescent="0.2">
      <c r="A82" s="123"/>
      <c r="B82" s="206"/>
      <c r="C82" s="206" t="s">
        <v>30</v>
      </c>
      <c r="D82" s="142">
        <v>57</v>
      </c>
      <c r="E82" s="208">
        <v>24.5</v>
      </c>
      <c r="F82" s="209">
        <f>E82/E58*100</f>
        <v>126.28865979381445</v>
      </c>
      <c r="G82" s="209">
        <f t="shared" si="0"/>
        <v>-26.288659793814446</v>
      </c>
      <c r="H82" s="210">
        <f t="shared" si="21"/>
        <v>0</v>
      </c>
      <c r="I82" s="211">
        <v>2.5</v>
      </c>
      <c r="J82" s="211">
        <v>0.5</v>
      </c>
      <c r="K82" s="212">
        <f t="shared" si="22"/>
        <v>1</v>
      </c>
    </row>
    <row r="83" spans="1:11" x14ac:dyDescent="0.2">
      <c r="A83" s="123"/>
      <c r="B83" s="206"/>
      <c r="C83" s="206"/>
      <c r="D83" s="142">
        <v>59</v>
      </c>
      <c r="E83" s="208">
        <v>25.4</v>
      </c>
      <c r="F83" s="209">
        <f>E83/E58*100</f>
        <v>130.9278350515464</v>
      </c>
      <c r="G83" s="209">
        <f t="shared" si="0"/>
        <v>-30.927835051546396</v>
      </c>
      <c r="H83" s="210">
        <f t="shared" si="21"/>
        <v>0</v>
      </c>
      <c r="I83" s="211">
        <v>2.5</v>
      </c>
      <c r="J83" s="211">
        <v>1</v>
      </c>
      <c r="K83" s="212">
        <f t="shared" si="22"/>
        <v>1.1666666666666667</v>
      </c>
    </row>
    <row r="84" spans="1:11" x14ac:dyDescent="0.2">
      <c r="A84" s="123"/>
      <c r="B84" s="206"/>
      <c r="C84" s="206"/>
      <c r="D84" s="142">
        <v>61</v>
      </c>
      <c r="E84" s="208">
        <v>24.9</v>
      </c>
      <c r="F84" s="209">
        <f>E84/E58*100</f>
        <v>128.35051546391753</v>
      </c>
      <c r="G84" s="209">
        <f t="shared" si="0"/>
        <v>-28.350515463917532</v>
      </c>
      <c r="H84" s="210">
        <f t="shared" si="21"/>
        <v>0</v>
      </c>
      <c r="I84" s="211">
        <v>2.5</v>
      </c>
      <c r="J84" s="211">
        <v>2.5</v>
      </c>
      <c r="K84" s="212">
        <f t="shared" si="22"/>
        <v>1.6666666666666667</v>
      </c>
    </row>
    <row r="85" spans="1:11" x14ac:dyDescent="0.2">
      <c r="A85" s="123"/>
      <c r="B85" s="206"/>
      <c r="C85" s="206"/>
      <c r="D85" s="207">
        <v>64</v>
      </c>
      <c r="E85" s="208">
        <v>25.1</v>
      </c>
      <c r="F85" s="209">
        <f>E85/E58*100</f>
        <v>129.38144329896909</v>
      </c>
      <c r="G85" s="209">
        <f t="shared" si="0"/>
        <v>-29.381443298969089</v>
      </c>
      <c r="H85" s="210">
        <f t="shared" si="21"/>
        <v>0</v>
      </c>
      <c r="I85" s="211">
        <v>3</v>
      </c>
      <c r="J85" s="211">
        <v>1</v>
      </c>
      <c r="K85" s="212">
        <f t="shared" si="22"/>
        <v>1.3333333333333333</v>
      </c>
    </row>
    <row r="86" spans="1:11" x14ac:dyDescent="0.2">
      <c r="B86" s="196"/>
      <c r="C86" s="196"/>
      <c r="D86" s="197"/>
      <c r="E86" s="198"/>
      <c r="F86" s="199"/>
      <c r="G86" s="199"/>
      <c r="H86" s="200"/>
      <c r="I86" s="201"/>
      <c r="J86" s="201"/>
    </row>
    <row r="88" spans="1:11" x14ac:dyDescent="0.2">
      <c r="A88" s="123" t="s">
        <v>38</v>
      </c>
      <c r="B88" s="157" t="s">
        <v>0</v>
      </c>
      <c r="C88" s="157" t="s">
        <v>36</v>
      </c>
      <c r="D88" s="497">
        <v>1</v>
      </c>
      <c r="E88" s="500">
        <v>15.1</v>
      </c>
      <c r="F88" s="498">
        <v>100</v>
      </c>
      <c r="G88" s="160">
        <f t="shared" ref="G88:G110" si="23">100-F88</f>
        <v>0</v>
      </c>
      <c r="H88" s="161">
        <f t="shared" ref="H88:H101" si="24">IF(G88&lt;=1, 0, IF(AND(G88&gt;1, G88&lt;=5), 1, IF(AND(G88&gt;5, G88&lt;=10), 2, IF(AND(G88&gt;10, G88&lt;=15), 3, 4))))</f>
        <v>0</v>
      </c>
      <c r="I88" s="162">
        <v>0</v>
      </c>
      <c r="J88" s="162">
        <v>0</v>
      </c>
      <c r="K88" s="161">
        <f t="shared" ref="K88:K99" si="25">AVERAGE(H88:J88)</f>
        <v>0</v>
      </c>
    </row>
    <row r="89" spans="1:11" x14ac:dyDescent="0.2">
      <c r="B89" s="163"/>
      <c r="C89" s="163"/>
      <c r="D89" s="164">
        <v>3</v>
      </c>
      <c r="E89" s="499">
        <v>13.5</v>
      </c>
      <c r="F89" s="166">
        <f t="shared" ref="F89:F94" si="26">E89/$E$88*100</f>
        <v>89.403973509933778</v>
      </c>
      <c r="G89" s="166">
        <f t="shared" si="23"/>
        <v>10.596026490066222</v>
      </c>
      <c r="H89" s="167">
        <f t="shared" si="24"/>
        <v>3</v>
      </c>
      <c r="I89" s="168">
        <v>2</v>
      </c>
      <c r="J89" s="162">
        <v>0</v>
      </c>
      <c r="K89" s="167">
        <f t="shared" si="25"/>
        <v>1.6666666666666667</v>
      </c>
    </row>
    <row r="90" spans="1:11" x14ac:dyDescent="0.2">
      <c r="B90" s="163"/>
      <c r="C90" s="163"/>
      <c r="D90" s="164">
        <v>5</v>
      </c>
      <c r="E90" s="165">
        <v>13.3</v>
      </c>
      <c r="F90" s="166">
        <f t="shared" si="26"/>
        <v>88.079470198675509</v>
      </c>
      <c r="G90" s="166">
        <f t="shared" si="23"/>
        <v>11.920529801324491</v>
      </c>
      <c r="H90" s="167">
        <f t="shared" si="24"/>
        <v>3</v>
      </c>
      <c r="I90" s="168">
        <v>2.5</v>
      </c>
      <c r="J90" s="162">
        <v>0</v>
      </c>
      <c r="K90" s="167">
        <f t="shared" si="25"/>
        <v>1.8333333333333333</v>
      </c>
    </row>
    <row r="91" spans="1:11" x14ac:dyDescent="0.2">
      <c r="B91" s="163"/>
      <c r="C91" s="163"/>
      <c r="D91" s="164">
        <v>8</v>
      </c>
      <c r="E91" s="169">
        <v>14.8</v>
      </c>
      <c r="F91" s="166">
        <f t="shared" si="26"/>
        <v>98.013245033112597</v>
      </c>
      <c r="G91" s="166">
        <f t="shared" si="23"/>
        <v>1.9867549668874034</v>
      </c>
      <c r="H91" s="167">
        <f t="shared" si="24"/>
        <v>1</v>
      </c>
      <c r="I91" s="168">
        <v>2</v>
      </c>
      <c r="J91" s="162">
        <v>0</v>
      </c>
      <c r="K91" s="167">
        <f t="shared" si="25"/>
        <v>1</v>
      </c>
    </row>
    <row r="92" spans="1:11" x14ac:dyDescent="0.2">
      <c r="B92" s="163"/>
      <c r="C92" s="163"/>
      <c r="D92" s="164">
        <v>10</v>
      </c>
      <c r="E92" s="169">
        <v>16.8</v>
      </c>
      <c r="F92" s="166">
        <f t="shared" si="26"/>
        <v>111.25827814569537</v>
      </c>
      <c r="G92" s="166">
        <f t="shared" si="23"/>
        <v>-11.258278145695371</v>
      </c>
      <c r="H92" s="167">
        <f t="shared" si="24"/>
        <v>0</v>
      </c>
      <c r="I92" s="168">
        <v>2.5</v>
      </c>
      <c r="J92" s="162">
        <v>0</v>
      </c>
      <c r="K92" s="167">
        <f t="shared" si="25"/>
        <v>0.83333333333333337</v>
      </c>
    </row>
    <row r="93" spans="1:11" x14ac:dyDescent="0.2">
      <c r="B93" s="163"/>
      <c r="C93" s="163"/>
      <c r="D93" s="164">
        <v>12</v>
      </c>
      <c r="E93" s="169">
        <v>16.5</v>
      </c>
      <c r="F93" s="166">
        <f t="shared" si="26"/>
        <v>109.27152317880795</v>
      </c>
      <c r="G93" s="166">
        <f t="shared" si="23"/>
        <v>-9.2715231788079535</v>
      </c>
      <c r="H93" s="167">
        <f t="shared" si="24"/>
        <v>0</v>
      </c>
      <c r="I93" s="168">
        <v>2.5</v>
      </c>
      <c r="J93" s="162">
        <v>0</v>
      </c>
      <c r="K93" s="167">
        <f t="shared" si="25"/>
        <v>0.83333333333333337</v>
      </c>
    </row>
    <row r="94" spans="1:11" x14ac:dyDescent="0.2">
      <c r="B94" s="170"/>
      <c r="C94" s="170" t="s">
        <v>13</v>
      </c>
      <c r="D94" s="171">
        <v>15</v>
      </c>
      <c r="E94" s="169">
        <v>18.2</v>
      </c>
      <c r="F94" s="166">
        <f t="shared" si="26"/>
        <v>120.52980132450331</v>
      </c>
      <c r="G94" s="172">
        <f t="shared" si="23"/>
        <v>-20.52980132450331</v>
      </c>
      <c r="H94" s="173">
        <f t="shared" si="24"/>
        <v>0</v>
      </c>
      <c r="I94" s="174">
        <v>2.5</v>
      </c>
      <c r="J94" s="162">
        <v>0</v>
      </c>
      <c r="K94" s="167">
        <f t="shared" si="25"/>
        <v>0.83333333333333337</v>
      </c>
    </row>
    <row r="95" spans="1:11" x14ac:dyDescent="0.2">
      <c r="B95" s="163"/>
      <c r="C95" s="163" t="s">
        <v>11</v>
      </c>
      <c r="D95" s="164">
        <v>17</v>
      </c>
      <c r="E95" s="175">
        <v>18.899999999999999</v>
      </c>
      <c r="F95" s="166">
        <f t="shared" ref="F95:F110" si="27">E95/$E$88*100</f>
        <v>125.16556291390728</v>
      </c>
      <c r="G95" s="166">
        <f t="shared" si="23"/>
        <v>-25.16556291390728</v>
      </c>
      <c r="H95" s="167">
        <f t="shared" si="24"/>
        <v>0</v>
      </c>
      <c r="I95" s="168">
        <v>3.5</v>
      </c>
      <c r="J95" s="162">
        <v>0</v>
      </c>
      <c r="K95" s="214">
        <f t="shared" si="25"/>
        <v>1.1666666666666667</v>
      </c>
    </row>
    <row r="96" spans="1:11" x14ac:dyDescent="0.2">
      <c r="B96" s="163"/>
      <c r="C96" s="163"/>
      <c r="D96" s="164">
        <v>19</v>
      </c>
      <c r="E96" s="175">
        <v>18.399999999999999</v>
      </c>
      <c r="F96" s="166">
        <f t="shared" si="27"/>
        <v>121.85430463576159</v>
      </c>
      <c r="G96" s="166">
        <f t="shared" si="23"/>
        <v>-21.854304635761594</v>
      </c>
      <c r="H96" s="167">
        <f t="shared" si="24"/>
        <v>0</v>
      </c>
      <c r="I96" s="168">
        <v>3.5</v>
      </c>
      <c r="J96" s="162">
        <v>0</v>
      </c>
      <c r="K96" s="214">
        <f t="shared" si="25"/>
        <v>1.1666666666666667</v>
      </c>
    </row>
    <row r="97" spans="2:11" x14ac:dyDescent="0.2">
      <c r="B97" s="163"/>
      <c r="C97" s="163"/>
      <c r="D97" s="164">
        <v>22</v>
      </c>
      <c r="E97" s="175">
        <v>18.100000000000001</v>
      </c>
      <c r="F97" s="166">
        <f t="shared" si="27"/>
        <v>119.86754966887419</v>
      </c>
      <c r="G97" s="166">
        <f t="shared" si="23"/>
        <v>-19.86754966887419</v>
      </c>
      <c r="H97" s="167">
        <f t="shared" si="24"/>
        <v>0</v>
      </c>
      <c r="I97" s="168">
        <v>2.5</v>
      </c>
      <c r="J97" s="162">
        <v>0</v>
      </c>
      <c r="K97" s="215">
        <f t="shared" si="25"/>
        <v>0.83333333333333337</v>
      </c>
    </row>
    <row r="98" spans="2:11" x14ac:dyDescent="0.2">
      <c r="B98" s="163"/>
      <c r="C98" s="163"/>
      <c r="D98" s="164">
        <v>24</v>
      </c>
      <c r="E98" s="175">
        <v>18.600000000000001</v>
      </c>
      <c r="F98" s="166">
        <f t="shared" si="27"/>
        <v>123.17880794701988</v>
      </c>
      <c r="G98" s="166">
        <f t="shared" si="23"/>
        <v>-23.178807947019877</v>
      </c>
      <c r="H98" s="167">
        <f t="shared" si="24"/>
        <v>0</v>
      </c>
      <c r="I98" s="168">
        <v>1</v>
      </c>
      <c r="J98" s="162">
        <v>0</v>
      </c>
      <c r="K98" s="215">
        <f t="shared" si="25"/>
        <v>0.33333333333333331</v>
      </c>
    </row>
    <row r="99" spans="2:11" x14ac:dyDescent="0.2">
      <c r="B99" s="176"/>
      <c r="C99" s="176"/>
      <c r="D99" s="177">
        <v>26</v>
      </c>
      <c r="E99" s="178">
        <v>18.2</v>
      </c>
      <c r="F99" s="166">
        <f t="shared" si="27"/>
        <v>120.52980132450331</v>
      </c>
      <c r="G99" s="179">
        <f t="shared" si="23"/>
        <v>-20.52980132450331</v>
      </c>
      <c r="H99" s="180">
        <f t="shared" si="24"/>
        <v>0</v>
      </c>
      <c r="I99" s="181">
        <v>3.5</v>
      </c>
      <c r="J99" s="162">
        <v>0</v>
      </c>
      <c r="K99" s="215">
        <f t="shared" si="25"/>
        <v>1.1666666666666667</v>
      </c>
    </row>
    <row r="100" spans="2:11" x14ac:dyDescent="0.2">
      <c r="B100" s="176"/>
      <c r="C100" s="176"/>
      <c r="D100" s="177">
        <v>29</v>
      </c>
      <c r="E100" s="178">
        <v>18.5</v>
      </c>
      <c r="F100" s="166">
        <f t="shared" si="27"/>
        <v>122.51655629139073</v>
      </c>
      <c r="G100" s="179">
        <f t="shared" ref="G100" si="28">100-F100</f>
        <v>-22.516556291390728</v>
      </c>
      <c r="H100" s="180">
        <f t="shared" ref="H100" si="29">IF(G100&lt;=1, 0, IF(AND(G100&gt;1, G100&lt;=5), 1, IF(AND(G100&gt;5, G100&lt;=10), 2, IF(AND(G100&gt;10, G100&lt;=15), 3, 4))))</f>
        <v>0</v>
      </c>
      <c r="I100" s="181">
        <v>1</v>
      </c>
      <c r="J100" s="162">
        <v>0.5</v>
      </c>
      <c r="K100" s="215">
        <f t="shared" ref="K100:K115" si="30">AVERAGE(H100:J100)</f>
        <v>0.5</v>
      </c>
    </row>
    <row r="101" spans="2:11" x14ac:dyDescent="0.2">
      <c r="B101" s="157"/>
      <c r="C101" s="157" t="s">
        <v>30</v>
      </c>
      <c r="D101" s="158">
        <v>31</v>
      </c>
      <c r="E101" s="182">
        <v>15.9</v>
      </c>
      <c r="F101" s="166">
        <f t="shared" si="27"/>
        <v>105.29801324503312</v>
      </c>
      <c r="G101" s="160">
        <f t="shared" si="23"/>
        <v>-5.2980132450331183</v>
      </c>
      <c r="H101" s="161">
        <f t="shared" si="24"/>
        <v>0</v>
      </c>
      <c r="I101" s="162">
        <v>1</v>
      </c>
      <c r="J101" s="162">
        <v>0.5</v>
      </c>
      <c r="K101" s="215">
        <f t="shared" si="30"/>
        <v>0.5</v>
      </c>
    </row>
    <row r="102" spans="2:11" x14ac:dyDescent="0.2">
      <c r="B102" s="163"/>
      <c r="C102" s="163"/>
      <c r="D102" s="164">
        <v>33</v>
      </c>
      <c r="E102" s="182">
        <v>16.899999999999999</v>
      </c>
      <c r="F102" s="166">
        <f t="shared" si="27"/>
        <v>111.92052980132449</v>
      </c>
      <c r="G102" s="166">
        <f t="shared" si="23"/>
        <v>-11.920529801324491</v>
      </c>
      <c r="H102" s="167">
        <f>IF(G102&lt;=1, 0, IF(AND(G102&gt;1, G102&lt;=5), 1, IF(AND(G102&gt;5, G102&lt;=10), 2, IF(AND(G102&gt;10, G102&lt;=15), 3, 4))))</f>
        <v>0</v>
      </c>
      <c r="I102" s="162">
        <v>2.5</v>
      </c>
      <c r="J102" s="162">
        <v>1.5</v>
      </c>
      <c r="K102" s="215">
        <f t="shared" si="30"/>
        <v>1.3333333333333333</v>
      </c>
    </row>
    <row r="103" spans="2:11" x14ac:dyDescent="0.2">
      <c r="B103" s="163"/>
      <c r="C103" s="163" t="s">
        <v>31</v>
      </c>
      <c r="D103" s="164">
        <v>36</v>
      </c>
      <c r="E103" s="175">
        <v>16.8</v>
      </c>
      <c r="F103" s="166">
        <f t="shared" si="27"/>
        <v>111.25827814569537</v>
      </c>
      <c r="G103" s="166">
        <f t="shared" si="23"/>
        <v>-11.258278145695371</v>
      </c>
      <c r="H103" s="167">
        <f t="shared" ref="H103:H114" si="31">IF(G103&lt;=1, 0, IF(AND(G103&gt;1, G103&lt;=5), 1, IF(AND(G103&gt;5, G103&lt;=10), 2, IF(AND(G103&gt;10, G103&lt;=15), 3, 4))))</f>
        <v>0</v>
      </c>
      <c r="I103" s="162">
        <v>2</v>
      </c>
      <c r="J103" s="162">
        <v>2</v>
      </c>
      <c r="K103" s="399">
        <f t="shared" si="30"/>
        <v>1.3333333333333333</v>
      </c>
    </row>
    <row r="104" spans="2:11" x14ac:dyDescent="0.2">
      <c r="B104" s="163"/>
      <c r="C104" s="163"/>
      <c r="D104" s="164">
        <v>38</v>
      </c>
      <c r="E104" s="175">
        <v>17.5</v>
      </c>
      <c r="F104" s="166">
        <f t="shared" si="27"/>
        <v>115.89403973509933</v>
      </c>
      <c r="G104" s="166">
        <f t="shared" si="23"/>
        <v>-15.894039735099327</v>
      </c>
      <c r="H104" s="167">
        <f t="shared" si="31"/>
        <v>0</v>
      </c>
      <c r="I104" s="162">
        <v>2.5</v>
      </c>
      <c r="J104" s="162">
        <v>0</v>
      </c>
      <c r="K104" s="215">
        <f t="shared" si="30"/>
        <v>0.83333333333333337</v>
      </c>
    </row>
    <row r="105" spans="2:11" x14ac:dyDescent="0.2">
      <c r="B105" s="163"/>
      <c r="C105" s="163"/>
      <c r="D105" s="164">
        <v>40</v>
      </c>
      <c r="E105" s="175">
        <v>18.100000000000001</v>
      </c>
      <c r="F105" s="166">
        <f t="shared" si="27"/>
        <v>119.86754966887419</v>
      </c>
      <c r="G105" s="166">
        <f t="shared" si="23"/>
        <v>-19.86754966887419</v>
      </c>
      <c r="H105" s="167">
        <f t="shared" si="31"/>
        <v>0</v>
      </c>
      <c r="I105" s="162">
        <v>1</v>
      </c>
      <c r="J105" s="162">
        <v>0</v>
      </c>
      <c r="K105" s="215">
        <f t="shared" si="30"/>
        <v>0.33333333333333331</v>
      </c>
    </row>
    <row r="106" spans="2:11" x14ac:dyDescent="0.2">
      <c r="B106" s="163"/>
      <c r="C106" s="163" t="s">
        <v>30</v>
      </c>
      <c r="D106" s="164">
        <v>43</v>
      </c>
      <c r="E106" s="175">
        <v>17.7</v>
      </c>
      <c r="F106" s="166">
        <f t="shared" si="27"/>
        <v>117.21854304635761</v>
      </c>
      <c r="G106" s="166">
        <f t="shared" si="23"/>
        <v>-17.21854304635761</v>
      </c>
      <c r="H106" s="167">
        <f t="shared" si="31"/>
        <v>0</v>
      </c>
      <c r="I106" s="162">
        <v>0.5</v>
      </c>
      <c r="J106" s="162">
        <v>0</v>
      </c>
      <c r="K106" s="215">
        <f t="shared" si="30"/>
        <v>0.16666666666666666</v>
      </c>
    </row>
    <row r="107" spans="2:11" x14ac:dyDescent="0.2">
      <c r="B107" s="163"/>
      <c r="C107" s="163"/>
      <c r="D107" s="164">
        <v>45</v>
      </c>
      <c r="E107" s="175">
        <v>17.5</v>
      </c>
      <c r="F107" s="166">
        <f t="shared" si="27"/>
        <v>115.89403973509933</v>
      </c>
      <c r="G107" s="166">
        <f t="shared" si="23"/>
        <v>-15.894039735099327</v>
      </c>
      <c r="H107" s="167">
        <f t="shared" si="31"/>
        <v>0</v>
      </c>
      <c r="I107" s="162">
        <v>2.5</v>
      </c>
      <c r="J107" s="162">
        <v>1.5</v>
      </c>
      <c r="K107" s="215">
        <f t="shared" si="30"/>
        <v>1.3333333333333333</v>
      </c>
    </row>
    <row r="108" spans="2:11" x14ac:dyDescent="0.2">
      <c r="B108" s="176"/>
      <c r="C108" s="176"/>
      <c r="D108" s="177">
        <v>47</v>
      </c>
      <c r="E108" s="178">
        <v>18.100000000000001</v>
      </c>
      <c r="F108" s="179">
        <f t="shared" si="27"/>
        <v>119.86754966887419</v>
      </c>
      <c r="G108" s="179">
        <f t="shared" si="23"/>
        <v>-19.86754966887419</v>
      </c>
      <c r="H108" s="180">
        <f t="shared" si="31"/>
        <v>0</v>
      </c>
      <c r="I108" s="216">
        <v>1.5</v>
      </c>
      <c r="J108" s="162">
        <v>1.5</v>
      </c>
      <c r="K108" s="215">
        <f t="shared" si="30"/>
        <v>1</v>
      </c>
    </row>
    <row r="109" spans="2:11" x14ac:dyDescent="0.2">
      <c r="B109" s="176"/>
      <c r="C109" s="176" t="s">
        <v>31</v>
      </c>
      <c r="D109" s="177">
        <v>50</v>
      </c>
      <c r="E109" s="178">
        <v>17.899999999999999</v>
      </c>
      <c r="F109" s="179">
        <f t="shared" si="27"/>
        <v>118.54304635761588</v>
      </c>
      <c r="G109" s="179">
        <f t="shared" si="23"/>
        <v>-18.543046357615879</v>
      </c>
      <c r="H109" s="180">
        <f t="shared" si="31"/>
        <v>0</v>
      </c>
      <c r="I109" s="217">
        <v>2.5</v>
      </c>
      <c r="J109" s="162">
        <v>2</v>
      </c>
      <c r="K109" s="215">
        <f t="shared" si="30"/>
        <v>1.5</v>
      </c>
    </row>
    <row r="110" spans="2:11" x14ac:dyDescent="0.2">
      <c r="B110" s="176"/>
      <c r="C110" s="176"/>
      <c r="D110" s="177">
        <v>52</v>
      </c>
      <c r="E110" s="178">
        <v>18.7</v>
      </c>
      <c r="F110" s="179">
        <f t="shared" si="27"/>
        <v>123.841059602649</v>
      </c>
      <c r="G110" s="179">
        <f t="shared" si="23"/>
        <v>-23.841059602648997</v>
      </c>
      <c r="H110" s="180">
        <f t="shared" si="31"/>
        <v>0</v>
      </c>
      <c r="I110" s="217">
        <v>2</v>
      </c>
      <c r="J110" s="162">
        <v>0</v>
      </c>
      <c r="K110" s="215">
        <f t="shared" si="30"/>
        <v>0.66666666666666663</v>
      </c>
    </row>
    <row r="111" spans="2:11" x14ac:dyDescent="0.2">
      <c r="B111" s="176"/>
      <c r="C111" s="176"/>
      <c r="D111" s="177">
        <v>54</v>
      </c>
      <c r="E111" s="178">
        <v>18.7</v>
      </c>
      <c r="F111" s="179">
        <f>E111/$E$88*100</f>
        <v>123.841059602649</v>
      </c>
      <c r="G111" s="179">
        <f>100-F111</f>
        <v>-23.841059602648997</v>
      </c>
      <c r="H111" s="180">
        <f t="shared" si="31"/>
        <v>0</v>
      </c>
      <c r="I111" s="217">
        <v>1.5</v>
      </c>
      <c r="J111" s="162">
        <v>0</v>
      </c>
      <c r="K111" s="215">
        <f t="shared" si="30"/>
        <v>0.5</v>
      </c>
    </row>
    <row r="112" spans="2:11" x14ac:dyDescent="0.2">
      <c r="B112" s="176"/>
      <c r="C112" s="176" t="s">
        <v>30</v>
      </c>
      <c r="D112" s="177">
        <v>57</v>
      </c>
      <c r="E112" s="178">
        <v>18.899999999999999</v>
      </c>
      <c r="F112" s="179">
        <f>E112/$E$88*100</f>
        <v>125.16556291390728</v>
      </c>
      <c r="G112" s="179">
        <f>100-F112</f>
        <v>-25.16556291390728</v>
      </c>
      <c r="H112" s="180">
        <f t="shared" si="31"/>
        <v>0</v>
      </c>
      <c r="I112" s="217">
        <v>1</v>
      </c>
      <c r="J112" s="162">
        <v>0.5</v>
      </c>
      <c r="K112" s="215">
        <f t="shared" si="30"/>
        <v>0.5</v>
      </c>
    </row>
    <row r="113" spans="1:11" x14ac:dyDescent="0.2">
      <c r="B113" s="176"/>
      <c r="C113" s="176"/>
      <c r="D113" s="177">
        <v>59</v>
      </c>
      <c r="E113" s="178">
        <v>18.7</v>
      </c>
      <c r="F113" s="179">
        <f>E113/$E$88*100</f>
        <v>123.841059602649</v>
      </c>
      <c r="G113" s="179">
        <f>100-F113</f>
        <v>-23.841059602648997</v>
      </c>
      <c r="H113" s="180">
        <f t="shared" si="31"/>
        <v>0</v>
      </c>
      <c r="I113" s="217">
        <v>2.5</v>
      </c>
      <c r="J113" s="162">
        <v>0.5</v>
      </c>
      <c r="K113" s="215">
        <f t="shared" si="30"/>
        <v>1</v>
      </c>
    </row>
    <row r="114" spans="1:11" x14ac:dyDescent="0.2">
      <c r="B114" s="176"/>
      <c r="C114" s="176"/>
      <c r="D114" s="177">
        <v>61</v>
      </c>
      <c r="E114" s="178">
        <v>18.100000000000001</v>
      </c>
      <c r="F114" s="179">
        <f>E114/$E$88*100</f>
        <v>119.86754966887419</v>
      </c>
      <c r="G114" s="179">
        <f>100-F114</f>
        <v>-19.86754966887419</v>
      </c>
      <c r="H114" s="180">
        <f t="shared" si="31"/>
        <v>0</v>
      </c>
      <c r="I114" s="217">
        <v>2.5</v>
      </c>
      <c r="J114" s="162">
        <v>1</v>
      </c>
      <c r="K114" s="215">
        <f t="shared" si="30"/>
        <v>1.1666666666666667</v>
      </c>
    </row>
    <row r="115" spans="1:11" ht="17" thickBot="1" x14ac:dyDescent="0.25">
      <c r="B115" s="183"/>
      <c r="C115" s="183"/>
      <c r="D115" s="184">
        <v>64</v>
      </c>
      <c r="E115" s="460">
        <v>19</v>
      </c>
      <c r="F115" s="185">
        <f>E115/$E$88*100</f>
        <v>125.82781456953643</v>
      </c>
      <c r="G115" s="185">
        <f>100-F115</f>
        <v>-25.827814569536429</v>
      </c>
      <c r="H115" s="186">
        <f t="shared" ref="H115" si="32">IF(G115&lt;=1, 0, IF(AND(G115&gt;1, G115&lt;=5), 1, IF(AND(G115&gt;5, G115&lt;=10), 2, IF(AND(G115&gt;10, G115&lt;=15), 3, 4))))</f>
        <v>0</v>
      </c>
      <c r="I115" s="187">
        <v>3</v>
      </c>
      <c r="J115" s="187">
        <v>4</v>
      </c>
      <c r="K115" s="215">
        <f t="shared" si="30"/>
        <v>2.3333333333333335</v>
      </c>
    </row>
    <row r="116" spans="1:11" x14ac:dyDescent="0.2">
      <c r="A116" s="123" t="s">
        <v>38</v>
      </c>
      <c r="B116" s="157" t="s">
        <v>1</v>
      </c>
      <c r="C116" s="157" t="s">
        <v>36</v>
      </c>
      <c r="D116" s="158">
        <v>1</v>
      </c>
      <c r="E116" s="159">
        <v>18.899999999999999</v>
      </c>
      <c r="F116" s="160">
        <v>100</v>
      </c>
      <c r="G116" s="160">
        <f t="shared" ref="G116:G143" si="33">100-F116</f>
        <v>0</v>
      </c>
      <c r="H116" s="161">
        <f t="shared" ref="H116:H129" si="34">IF(G116&lt;=1, 0, IF(AND(G116&gt;1, G116&lt;=5), 1, IF(AND(G116&gt;5, G116&lt;=10), 2, IF(AND(G116&gt;10, G116&lt;=15), 3, 4))))</f>
        <v>0</v>
      </c>
      <c r="I116" s="162">
        <v>0</v>
      </c>
      <c r="J116" s="162">
        <v>0</v>
      </c>
      <c r="K116" s="161">
        <f t="shared" ref="K116:K127" si="35">AVERAGE(H116:J116)</f>
        <v>0</v>
      </c>
    </row>
    <row r="117" spans="1:11" x14ac:dyDescent="0.2">
      <c r="B117" s="163"/>
      <c r="C117" s="163"/>
      <c r="D117" s="164">
        <v>3</v>
      </c>
      <c r="E117" s="165">
        <v>17.100000000000001</v>
      </c>
      <c r="F117" s="166">
        <f t="shared" ref="F117:F124" si="36">E117/$E$116*100</f>
        <v>90.476190476190482</v>
      </c>
      <c r="G117" s="166">
        <f t="shared" si="33"/>
        <v>9.5238095238095184</v>
      </c>
      <c r="H117" s="167">
        <f t="shared" si="34"/>
        <v>2</v>
      </c>
      <c r="I117" s="168">
        <v>2</v>
      </c>
      <c r="J117" s="162">
        <v>0</v>
      </c>
      <c r="K117" s="167">
        <f t="shared" si="35"/>
        <v>1.3333333333333333</v>
      </c>
    </row>
    <row r="118" spans="1:11" x14ac:dyDescent="0.2">
      <c r="B118" s="163"/>
      <c r="C118" s="163"/>
      <c r="D118" s="164">
        <v>5</v>
      </c>
      <c r="E118" s="165">
        <v>16.399999999999999</v>
      </c>
      <c r="F118" s="166">
        <f t="shared" si="36"/>
        <v>86.772486772486772</v>
      </c>
      <c r="G118" s="166">
        <f t="shared" si="33"/>
        <v>13.227513227513228</v>
      </c>
      <c r="H118" s="167">
        <f t="shared" si="34"/>
        <v>3</v>
      </c>
      <c r="I118" s="168">
        <v>2.5</v>
      </c>
      <c r="J118" s="162">
        <v>0</v>
      </c>
      <c r="K118" s="167">
        <f t="shared" si="35"/>
        <v>1.8333333333333333</v>
      </c>
    </row>
    <row r="119" spans="1:11" x14ac:dyDescent="0.2">
      <c r="B119" s="163"/>
      <c r="C119" s="163"/>
      <c r="D119" s="164">
        <v>8</v>
      </c>
      <c r="E119" s="169">
        <v>20.100000000000001</v>
      </c>
      <c r="F119" s="166">
        <f t="shared" si="36"/>
        <v>106.34920634920637</v>
      </c>
      <c r="G119" s="166">
        <f t="shared" si="33"/>
        <v>-6.3492063492063693</v>
      </c>
      <c r="H119" s="167">
        <f t="shared" si="34"/>
        <v>0</v>
      </c>
      <c r="I119" s="168">
        <v>0</v>
      </c>
      <c r="J119" s="162">
        <v>0</v>
      </c>
      <c r="K119" s="167">
        <f t="shared" si="35"/>
        <v>0</v>
      </c>
    </row>
    <row r="120" spans="1:11" x14ac:dyDescent="0.2">
      <c r="B120" s="163"/>
      <c r="C120" s="163"/>
      <c r="D120" s="164">
        <v>10</v>
      </c>
      <c r="E120" s="169">
        <v>21</v>
      </c>
      <c r="F120" s="166">
        <f t="shared" si="36"/>
        <v>111.11111111111111</v>
      </c>
      <c r="G120" s="166">
        <f t="shared" si="33"/>
        <v>-11.111111111111114</v>
      </c>
      <c r="H120" s="167">
        <f t="shared" si="34"/>
        <v>0</v>
      </c>
      <c r="I120" s="168">
        <v>2</v>
      </c>
      <c r="J120" s="162">
        <v>0</v>
      </c>
      <c r="K120" s="167">
        <f t="shared" si="35"/>
        <v>0.66666666666666663</v>
      </c>
    </row>
    <row r="121" spans="1:11" x14ac:dyDescent="0.2">
      <c r="B121" s="163"/>
      <c r="C121" s="163"/>
      <c r="D121" s="164">
        <v>12</v>
      </c>
      <c r="E121" s="169">
        <v>20.3</v>
      </c>
      <c r="F121" s="166">
        <f t="shared" si="36"/>
        <v>107.40740740740742</v>
      </c>
      <c r="G121" s="166">
        <f t="shared" si="33"/>
        <v>-7.407407407407419</v>
      </c>
      <c r="H121" s="167">
        <f t="shared" si="34"/>
        <v>0</v>
      </c>
      <c r="I121" s="168">
        <v>3.5</v>
      </c>
      <c r="J121" s="162">
        <v>0</v>
      </c>
      <c r="K121" s="167">
        <f t="shared" si="35"/>
        <v>1.1666666666666667</v>
      </c>
    </row>
    <row r="122" spans="1:11" x14ac:dyDescent="0.2">
      <c r="B122" s="170"/>
      <c r="C122" s="170" t="s">
        <v>13</v>
      </c>
      <c r="D122" s="171">
        <v>15</v>
      </c>
      <c r="E122" s="169">
        <v>21.7</v>
      </c>
      <c r="F122" s="166">
        <f t="shared" si="36"/>
        <v>114.81481481481481</v>
      </c>
      <c r="G122" s="172">
        <f t="shared" si="33"/>
        <v>-14.81481481481481</v>
      </c>
      <c r="H122" s="173">
        <f t="shared" si="34"/>
        <v>0</v>
      </c>
      <c r="I122" s="174">
        <v>2</v>
      </c>
      <c r="J122" s="162">
        <v>0</v>
      </c>
      <c r="K122" s="167">
        <f t="shared" si="35"/>
        <v>0.66666666666666663</v>
      </c>
    </row>
    <row r="123" spans="1:11" x14ac:dyDescent="0.2">
      <c r="B123" s="163"/>
      <c r="C123" s="163" t="s">
        <v>11</v>
      </c>
      <c r="D123" s="164">
        <v>17</v>
      </c>
      <c r="E123" s="175">
        <v>21.4</v>
      </c>
      <c r="F123" s="166">
        <f>E123/$E$116*100</f>
        <v>113.22751322751323</v>
      </c>
      <c r="G123" s="166">
        <f t="shared" si="33"/>
        <v>-13.227513227513228</v>
      </c>
      <c r="H123" s="167">
        <f t="shared" si="34"/>
        <v>0</v>
      </c>
      <c r="I123" s="168">
        <v>2</v>
      </c>
      <c r="J123" s="162">
        <v>1</v>
      </c>
      <c r="K123" s="214">
        <f t="shared" si="35"/>
        <v>1</v>
      </c>
    </row>
    <row r="124" spans="1:11" x14ac:dyDescent="0.2">
      <c r="B124" s="163"/>
      <c r="C124" s="163"/>
      <c r="D124" s="164">
        <v>19</v>
      </c>
      <c r="E124" s="175">
        <v>22.2</v>
      </c>
      <c r="F124" s="166">
        <f t="shared" si="36"/>
        <v>117.46031746031747</v>
      </c>
      <c r="G124" s="166">
        <f t="shared" si="33"/>
        <v>-17.460317460317469</v>
      </c>
      <c r="H124" s="167">
        <f t="shared" si="34"/>
        <v>0</v>
      </c>
      <c r="I124" s="168">
        <v>2.5</v>
      </c>
      <c r="J124" s="162">
        <v>0</v>
      </c>
      <c r="K124" s="215">
        <f t="shared" si="35"/>
        <v>0.83333333333333337</v>
      </c>
    </row>
    <row r="125" spans="1:11" x14ac:dyDescent="0.2">
      <c r="B125" s="163"/>
      <c r="C125" s="163"/>
      <c r="D125" s="164">
        <v>22</v>
      </c>
      <c r="E125" s="175">
        <v>21.8</v>
      </c>
      <c r="F125" s="166">
        <f t="shared" ref="F125:F143" si="37">E125/$E$116*100</f>
        <v>115.34391534391534</v>
      </c>
      <c r="G125" s="166">
        <f t="shared" si="33"/>
        <v>-15.343915343915342</v>
      </c>
      <c r="H125" s="167">
        <f t="shared" si="34"/>
        <v>0</v>
      </c>
      <c r="I125" s="168">
        <v>1.5</v>
      </c>
      <c r="J125" s="162">
        <v>0</v>
      </c>
      <c r="K125" s="215">
        <f t="shared" si="35"/>
        <v>0.5</v>
      </c>
    </row>
    <row r="126" spans="1:11" x14ac:dyDescent="0.2">
      <c r="B126" s="163"/>
      <c r="C126" s="163"/>
      <c r="D126" s="164">
        <v>24</v>
      </c>
      <c r="E126" s="175">
        <v>23.4</v>
      </c>
      <c r="F126" s="166">
        <f t="shared" si="37"/>
        <v>123.80952380952381</v>
      </c>
      <c r="G126" s="166">
        <f t="shared" si="33"/>
        <v>-23.80952380952381</v>
      </c>
      <c r="H126" s="167">
        <f t="shared" si="34"/>
        <v>0</v>
      </c>
      <c r="I126" s="168">
        <v>2.5</v>
      </c>
      <c r="J126" s="162">
        <v>0</v>
      </c>
      <c r="K126" s="215">
        <f t="shared" si="35"/>
        <v>0.83333333333333337</v>
      </c>
    </row>
    <row r="127" spans="1:11" x14ac:dyDescent="0.2">
      <c r="B127" s="176"/>
      <c r="C127" s="176"/>
      <c r="D127" s="177">
        <v>26</v>
      </c>
      <c r="E127" s="396">
        <v>23</v>
      </c>
      <c r="F127" s="179">
        <f t="shared" si="37"/>
        <v>121.6931216931217</v>
      </c>
      <c r="G127" s="179">
        <f t="shared" si="33"/>
        <v>-21.693121693121697</v>
      </c>
      <c r="H127" s="180">
        <f t="shared" si="34"/>
        <v>0</v>
      </c>
      <c r="I127" s="181">
        <v>1.5</v>
      </c>
      <c r="J127" s="162">
        <v>0.5</v>
      </c>
      <c r="K127" s="215">
        <f t="shared" si="35"/>
        <v>0.66666666666666663</v>
      </c>
    </row>
    <row r="128" spans="1:11" x14ac:dyDescent="0.2">
      <c r="B128" s="176"/>
      <c r="C128" s="176"/>
      <c r="D128" s="177">
        <v>29</v>
      </c>
      <c r="E128" s="396">
        <v>22.8</v>
      </c>
      <c r="F128" s="179">
        <f t="shared" si="37"/>
        <v>120.63492063492065</v>
      </c>
      <c r="G128" s="179">
        <f t="shared" ref="G128" si="38">100-F128</f>
        <v>-20.634920634920647</v>
      </c>
      <c r="H128" s="180">
        <f t="shared" ref="H128" si="39">IF(G128&lt;=1, 0, IF(AND(G128&gt;1, G128&lt;=5), 1, IF(AND(G128&gt;5, G128&lt;=10), 2, IF(AND(G128&gt;10, G128&lt;=15), 3, 4))))</f>
        <v>0</v>
      </c>
      <c r="I128" s="181">
        <v>2.5</v>
      </c>
      <c r="J128" s="162">
        <v>1</v>
      </c>
      <c r="K128" s="215">
        <f t="shared" ref="K128:K143" si="40">AVERAGE(H128:J128)</f>
        <v>1.1666666666666667</v>
      </c>
    </row>
    <row r="129" spans="1:11" x14ac:dyDescent="0.2">
      <c r="B129" s="157"/>
      <c r="C129" s="157" t="s">
        <v>30</v>
      </c>
      <c r="D129" s="158">
        <v>31</v>
      </c>
      <c r="E129" s="182">
        <v>21.8</v>
      </c>
      <c r="F129" s="160">
        <f t="shared" si="37"/>
        <v>115.34391534391534</v>
      </c>
      <c r="G129" s="160">
        <f>100-F129</f>
        <v>-15.343915343915342</v>
      </c>
      <c r="H129" s="161">
        <f t="shared" si="34"/>
        <v>0</v>
      </c>
      <c r="I129" s="162">
        <v>2</v>
      </c>
      <c r="J129" s="162">
        <v>1</v>
      </c>
      <c r="K129" s="215">
        <f t="shared" si="40"/>
        <v>1</v>
      </c>
    </row>
    <row r="130" spans="1:11" x14ac:dyDescent="0.2">
      <c r="B130" s="163"/>
      <c r="C130" s="163"/>
      <c r="D130" s="164">
        <v>33</v>
      </c>
      <c r="E130" s="182">
        <v>22.2</v>
      </c>
      <c r="F130" s="166">
        <f t="shared" si="37"/>
        <v>117.46031746031747</v>
      </c>
      <c r="G130" s="166">
        <f t="shared" si="33"/>
        <v>-17.460317460317469</v>
      </c>
      <c r="H130" s="167">
        <f>IF(G130&lt;=1, 0, IF(AND(G130&gt;1, G130&lt;=5), 1, IF(AND(G130&gt;5, G130&lt;=10), 2, IF(AND(G130&gt;10, G130&lt;=15), 3, 4))))</f>
        <v>0</v>
      </c>
      <c r="I130" s="162">
        <v>2.5</v>
      </c>
      <c r="J130" s="162">
        <v>1.5</v>
      </c>
      <c r="K130" s="215">
        <f t="shared" si="40"/>
        <v>1.3333333333333333</v>
      </c>
    </row>
    <row r="131" spans="1:11" x14ac:dyDescent="0.2">
      <c r="B131" s="163"/>
      <c r="C131" s="163" t="s">
        <v>31</v>
      </c>
      <c r="D131" s="164">
        <v>36</v>
      </c>
      <c r="E131" s="175">
        <v>21.9</v>
      </c>
      <c r="F131" s="166">
        <f t="shared" si="37"/>
        <v>115.87301587301589</v>
      </c>
      <c r="G131" s="166">
        <f t="shared" si="33"/>
        <v>-15.873015873015888</v>
      </c>
      <c r="H131" s="167">
        <f t="shared" ref="H131:H143" si="41">IF(G131&lt;=1, 0, IF(AND(G131&gt;1, G131&lt;=5), 1, IF(AND(G131&gt;5, G131&lt;=10), 2, IF(AND(G131&gt;10, G131&lt;=15), 3, 4))))</f>
        <v>0</v>
      </c>
      <c r="I131" s="162">
        <v>3</v>
      </c>
      <c r="J131" s="162">
        <v>2</v>
      </c>
      <c r="K131" s="399">
        <f t="shared" si="40"/>
        <v>1.6666666666666667</v>
      </c>
    </row>
    <row r="132" spans="1:11" x14ac:dyDescent="0.2">
      <c r="B132" s="163"/>
      <c r="C132" s="163"/>
      <c r="D132" s="164">
        <v>38</v>
      </c>
      <c r="E132" s="175">
        <v>23.4</v>
      </c>
      <c r="F132" s="166">
        <f t="shared" si="37"/>
        <v>123.80952380952381</v>
      </c>
      <c r="G132" s="166">
        <f t="shared" si="33"/>
        <v>-23.80952380952381</v>
      </c>
      <c r="H132" s="167">
        <f t="shared" si="41"/>
        <v>0</v>
      </c>
      <c r="I132" s="162">
        <v>3</v>
      </c>
      <c r="J132" s="162">
        <v>0</v>
      </c>
      <c r="K132" s="215">
        <f t="shared" si="40"/>
        <v>1</v>
      </c>
    </row>
    <row r="133" spans="1:11" x14ac:dyDescent="0.2">
      <c r="B133" s="163"/>
      <c r="C133" s="163"/>
      <c r="D133" s="164">
        <v>40</v>
      </c>
      <c r="E133" s="175">
        <v>23.9</v>
      </c>
      <c r="F133" s="166">
        <f t="shared" si="37"/>
        <v>126.45502645502647</v>
      </c>
      <c r="G133" s="166">
        <f t="shared" si="33"/>
        <v>-26.45502645502647</v>
      </c>
      <c r="H133" s="167">
        <f t="shared" si="41"/>
        <v>0</v>
      </c>
      <c r="I133" s="162">
        <v>2</v>
      </c>
      <c r="J133" s="162">
        <v>0.5</v>
      </c>
      <c r="K133" s="215">
        <f t="shared" si="40"/>
        <v>0.83333333333333337</v>
      </c>
    </row>
    <row r="134" spans="1:11" x14ac:dyDescent="0.2">
      <c r="B134" s="163"/>
      <c r="C134" s="163" t="s">
        <v>30</v>
      </c>
      <c r="D134" s="164">
        <v>43</v>
      </c>
      <c r="E134" s="175">
        <v>24.3</v>
      </c>
      <c r="F134" s="166">
        <f t="shared" si="37"/>
        <v>128.57142857142858</v>
      </c>
      <c r="G134" s="166">
        <f t="shared" si="33"/>
        <v>-28.571428571428584</v>
      </c>
      <c r="H134" s="167">
        <f t="shared" si="41"/>
        <v>0</v>
      </c>
      <c r="I134" s="162">
        <v>1</v>
      </c>
      <c r="J134" s="162">
        <v>0</v>
      </c>
      <c r="K134" s="215">
        <f t="shared" si="40"/>
        <v>0.33333333333333331</v>
      </c>
    </row>
    <row r="135" spans="1:11" x14ac:dyDescent="0.2">
      <c r="B135" s="163"/>
      <c r="C135" s="163"/>
      <c r="D135" s="164">
        <v>45</v>
      </c>
      <c r="E135" s="408">
        <v>24</v>
      </c>
      <c r="F135" s="166">
        <f t="shared" si="37"/>
        <v>126.984126984127</v>
      </c>
      <c r="G135" s="166">
        <f t="shared" si="33"/>
        <v>-26.984126984127002</v>
      </c>
      <c r="H135" s="167">
        <f t="shared" si="41"/>
        <v>0</v>
      </c>
      <c r="I135" s="162">
        <v>1.5</v>
      </c>
      <c r="J135" s="162">
        <v>2</v>
      </c>
      <c r="K135" s="215">
        <f t="shared" si="40"/>
        <v>1.1666666666666667</v>
      </c>
    </row>
    <row r="136" spans="1:11" x14ac:dyDescent="0.2">
      <c r="B136" s="176"/>
      <c r="C136" s="176"/>
      <c r="D136" s="177">
        <v>47</v>
      </c>
      <c r="E136" s="396">
        <v>24</v>
      </c>
      <c r="F136" s="179">
        <f t="shared" si="37"/>
        <v>126.984126984127</v>
      </c>
      <c r="G136" s="179">
        <f t="shared" si="33"/>
        <v>-26.984126984127002</v>
      </c>
      <c r="H136" s="180">
        <f t="shared" si="41"/>
        <v>0</v>
      </c>
      <c r="I136" s="216">
        <v>2</v>
      </c>
      <c r="J136" s="162">
        <v>0.5</v>
      </c>
      <c r="K136" s="215">
        <f t="shared" si="40"/>
        <v>0.83333333333333337</v>
      </c>
    </row>
    <row r="137" spans="1:11" x14ac:dyDescent="0.2">
      <c r="B137" s="176"/>
      <c r="C137" s="176" t="s">
        <v>31</v>
      </c>
      <c r="D137" s="177">
        <v>50</v>
      </c>
      <c r="E137" s="178">
        <v>23.2</v>
      </c>
      <c r="F137" s="179">
        <f t="shared" si="37"/>
        <v>122.75132275132276</v>
      </c>
      <c r="G137" s="179">
        <f t="shared" si="33"/>
        <v>-22.75132275132276</v>
      </c>
      <c r="H137" s="180">
        <f t="shared" si="41"/>
        <v>0</v>
      </c>
      <c r="I137" s="217">
        <v>3.5</v>
      </c>
      <c r="J137" s="162">
        <v>0.5</v>
      </c>
      <c r="K137" s="215">
        <f t="shared" si="40"/>
        <v>1.3333333333333333</v>
      </c>
    </row>
    <row r="138" spans="1:11" x14ac:dyDescent="0.2">
      <c r="B138" s="176"/>
      <c r="C138" s="176"/>
      <c r="D138" s="177">
        <v>52</v>
      </c>
      <c r="E138" s="396">
        <v>24</v>
      </c>
      <c r="F138" s="179">
        <f t="shared" si="37"/>
        <v>126.984126984127</v>
      </c>
      <c r="G138" s="179">
        <f t="shared" si="33"/>
        <v>-26.984126984127002</v>
      </c>
      <c r="H138" s="180">
        <f t="shared" si="41"/>
        <v>0</v>
      </c>
      <c r="I138" s="217">
        <v>2</v>
      </c>
      <c r="J138" s="162">
        <v>0</v>
      </c>
      <c r="K138" s="215">
        <f t="shared" si="40"/>
        <v>0.66666666666666663</v>
      </c>
    </row>
    <row r="139" spans="1:11" x14ac:dyDescent="0.2">
      <c r="B139" s="176"/>
      <c r="C139" s="176"/>
      <c r="D139" s="177">
        <v>54</v>
      </c>
      <c r="E139" s="178">
        <v>23.7</v>
      </c>
      <c r="F139" s="179">
        <f t="shared" si="37"/>
        <v>125.39682539682539</v>
      </c>
      <c r="G139" s="179">
        <f t="shared" si="33"/>
        <v>-25.396825396825392</v>
      </c>
      <c r="H139" s="180">
        <f t="shared" si="41"/>
        <v>0</v>
      </c>
      <c r="I139" s="217">
        <v>1.5</v>
      </c>
      <c r="J139" s="162">
        <v>0.5</v>
      </c>
      <c r="K139" s="215">
        <f t="shared" si="40"/>
        <v>0.66666666666666663</v>
      </c>
    </row>
    <row r="140" spans="1:11" x14ac:dyDescent="0.2">
      <c r="B140" s="176"/>
      <c r="C140" s="176" t="s">
        <v>30</v>
      </c>
      <c r="D140" s="177">
        <v>57</v>
      </c>
      <c r="E140" s="178">
        <v>24.1</v>
      </c>
      <c r="F140" s="179">
        <f t="shared" si="37"/>
        <v>127.51322751322753</v>
      </c>
      <c r="G140" s="179">
        <f t="shared" si="33"/>
        <v>-27.513227513227534</v>
      </c>
      <c r="H140" s="180">
        <f t="shared" si="41"/>
        <v>0</v>
      </c>
      <c r="I140" s="217">
        <v>1.5</v>
      </c>
      <c r="J140" s="162">
        <v>0</v>
      </c>
      <c r="K140" s="215">
        <f t="shared" si="40"/>
        <v>0.5</v>
      </c>
    </row>
    <row r="141" spans="1:11" x14ac:dyDescent="0.2">
      <c r="B141" s="176"/>
      <c r="C141" s="176"/>
      <c r="D141" s="177">
        <v>59</v>
      </c>
      <c r="E141" s="178">
        <v>23.1</v>
      </c>
      <c r="F141" s="179">
        <f t="shared" si="37"/>
        <v>122.22222222222223</v>
      </c>
      <c r="G141" s="179">
        <f t="shared" si="33"/>
        <v>-22.222222222222229</v>
      </c>
      <c r="H141" s="180">
        <f t="shared" si="41"/>
        <v>0</v>
      </c>
      <c r="I141" s="217">
        <v>2.5</v>
      </c>
      <c r="J141" s="162">
        <v>2</v>
      </c>
      <c r="K141" s="215">
        <f t="shared" si="40"/>
        <v>1.5</v>
      </c>
    </row>
    <row r="142" spans="1:11" x14ac:dyDescent="0.2">
      <c r="B142" s="176"/>
      <c r="C142" s="176"/>
      <c r="D142" s="177">
        <v>61</v>
      </c>
      <c r="E142" s="178">
        <v>23.4</v>
      </c>
      <c r="F142" s="179">
        <f t="shared" si="37"/>
        <v>123.80952380952381</v>
      </c>
      <c r="G142" s="179">
        <f t="shared" si="33"/>
        <v>-23.80952380952381</v>
      </c>
      <c r="H142" s="180">
        <f t="shared" si="41"/>
        <v>0</v>
      </c>
      <c r="I142" s="418">
        <v>2</v>
      </c>
      <c r="J142" s="418">
        <v>2</v>
      </c>
      <c r="K142" s="419">
        <f t="shared" si="40"/>
        <v>1.3333333333333333</v>
      </c>
    </row>
    <row r="143" spans="1:11" ht="17" thickBot="1" x14ac:dyDescent="0.25">
      <c r="B143" s="420"/>
      <c r="C143" s="420"/>
      <c r="D143" s="184">
        <v>64</v>
      </c>
      <c r="E143" s="421">
        <v>23.7</v>
      </c>
      <c r="F143" s="422">
        <f t="shared" si="37"/>
        <v>125.39682539682539</v>
      </c>
      <c r="G143" s="422">
        <f t="shared" si="33"/>
        <v>-25.396825396825392</v>
      </c>
      <c r="H143" s="423">
        <f t="shared" si="41"/>
        <v>0</v>
      </c>
      <c r="I143" s="424">
        <v>4</v>
      </c>
      <c r="J143" s="424">
        <v>4</v>
      </c>
      <c r="K143" s="425">
        <f t="shared" si="40"/>
        <v>2.6666666666666665</v>
      </c>
    </row>
    <row r="144" spans="1:11" x14ac:dyDescent="0.2">
      <c r="A144" s="479" t="s">
        <v>38</v>
      </c>
      <c r="B144" s="191" t="s">
        <v>2</v>
      </c>
      <c r="C144" s="219" t="s">
        <v>36</v>
      </c>
      <c r="D144" s="158">
        <v>1</v>
      </c>
      <c r="E144" s="220">
        <v>19.100000000000001</v>
      </c>
      <c r="F144" s="221">
        <v>100</v>
      </c>
      <c r="G144" s="221">
        <f t="shared" ref="G144:G160" si="42">100-F144</f>
        <v>0</v>
      </c>
      <c r="H144" s="222">
        <f t="shared" ref="H144:H171" si="43">IF(G144&lt;=1, 0, IF(AND(G144&gt;1, G144&lt;=5), 1, IF(AND(G144&gt;5, G144&lt;=10), 2, IF(AND(G144&gt;10, G144&lt;=15), 3, 4))))</f>
        <v>0</v>
      </c>
      <c r="I144" s="218">
        <v>0</v>
      </c>
      <c r="J144" s="218">
        <v>0</v>
      </c>
      <c r="K144" s="161">
        <f t="shared" ref="K144:K155" si="44">AVERAGE(H144:J144)</f>
        <v>0</v>
      </c>
    </row>
    <row r="145" spans="1:11" x14ac:dyDescent="0.2">
      <c r="B145" s="223"/>
      <c r="C145" s="223"/>
      <c r="D145" s="164">
        <v>3</v>
      </c>
      <c r="E145" s="225">
        <v>16.3</v>
      </c>
      <c r="F145" s="226">
        <f t="shared" ref="F145:F152" si="45">E145/$E$144*100</f>
        <v>85.340314136125656</v>
      </c>
      <c r="G145" s="226">
        <f t="shared" si="42"/>
        <v>14.659685863874344</v>
      </c>
      <c r="H145" s="227">
        <f t="shared" si="43"/>
        <v>3</v>
      </c>
      <c r="I145" s="228">
        <v>2</v>
      </c>
      <c r="J145" s="228">
        <v>0</v>
      </c>
      <c r="K145" s="161">
        <f t="shared" si="44"/>
        <v>1.6666666666666667</v>
      </c>
    </row>
    <row r="146" spans="1:11" x14ac:dyDescent="0.2">
      <c r="B146" s="223"/>
      <c r="C146" s="223"/>
      <c r="D146" s="164">
        <v>5</v>
      </c>
      <c r="E146" s="225">
        <v>15.8</v>
      </c>
      <c r="F146" s="226">
        <f t="shared" si="45"/>
        <v>82.722513089005233</v>
      </c>
      <c r="G146" s="226">
        <f t="shared" si="42"/>
        <v>17.277486910994767</v>
      </c>
      <c r="H146" s="227">
        <f t="shared" si="43"/>
        <v>4</v>
      </c>
      <c r="I146" s="228">
        <v>2</v>
      </c>
      <c r="J146" s="228">
        <v>0</v>
      </c>
      <c r="K146" s="161">
        <f t="shared" si="44"/>
        <v>2</v>
      </c>
    </row>
    <row r="147" spans="1:11" x14ac:dyDescent="0.2">
      <c r="B147" s="223"/>
      <c r="C147" s="223"/>
      <c r="D147" s="164">
        <v>8</v>
      </c>
      <c r="E147" s="225">
        <v>19.2</v>
      </c>
      <c r="F147" s="226">
        <f t="shared" si="45"/>
        <v>100.52356020942408</v>
      </c>
      <c r="G147" s="226">
        <f t="shared" si="42"/>
        <v>-0.52356020942407611</v>
      </c>
      <c r="H147" s="227">
        <f t="shared" si="43"/>
        <v>0</v>
      </c>
      <c r="I147" s="228">
        <v>1</v>
      </c>
      <c r="J147" s="228">
        <v>0</v>
      </c>
      <c r="K147" s="161">
        <f t="shared" si="44"/>
        <v>0.33333333333333331</v>
      </c>
    </row>
    <row r="148" spans="1:11" x14ac:dyDescent="0.2">
      <c r="B148" s="223"/>
      <c r="C148" s="223"/>
      <c r="D148" s="164">
        <v>10</v>
      </c>
      <c r="E148" s="225">
        <v>21</v>
      </c>
      <c r="F148" s="226">
        <f t="shared" si="45"/>
        <v>109.94764397905759</v>
      </c>
      <c r="G148" s="226">
        <f t="shared" si="42"/>
        <v>-9.9476439790575881</v>
      </c>
      <c r="H148" s="227">
        <f t="shared" si="43"/>
        <v>0</v>
      </c>
      <c r="I148" s="228">
        <v>2</v>
      </c>
      <c r="J148" s="228">
        <v>0</v>
      </c>
      <c r="K148" s="161">
        <f t="shared" si="44"/>
        <v>0.66666666666666663</v>
      </c>
    </row>
    <row r="149" spans="1:11" x14ac:dyDescent="0.2">
      <c r="B149" s="223"/>
      <c r="C149" s="223"/>
      <c r="D149" s="164">
        <v>12</v>
      </c>
      <c r="E149" s="225">
        <v>21.4</v>
      </c>
      <c r="F149" s="226">
        <f t="shared" si="45"/>
        <v>112.04188481675391</v>
      </c>
      <c r="G149" s="226">
        <f t="shared" si="42"/>
        <v>-12.041884816753907</v>
      </c>
      <c r="H149" s="227">
        <f t="shared" si="43"/>
        <v>0</v>
      </c>
      <c r="I149" s="228">
        <v>2.5</v>
      </c>
      <c r="J149" s="228">
        <v>0</v>
      </c>
      <c r="K149" s="161">
        <f t="shared" si="44"/>
        <v>0.83333333333333337</v>
      </c>
    </row>
    <row r="150" spans="1:11" x14ac:dyDescent="0.2">
      <c r="B150" s="223"/>
      <c r="C150" s="230" t="s">
        <v>13</v>
      </c>
      <c r="D150" s="171">
        <v>15</v>
      </c>
      <c r="E150" s="225">
        <v>21.3</v>
      </c>
      <c r="F150" s="226">
        <f t="shared" si="45"/>
        <v>111.51832460732984</v>
      </c>
      <c r="G150" s="226">
        <f t="shared" si="42"/>
        <v>-11.518324607329845</v>
      </c>
      <c r="H150" s="227">
        <f t="shared" si="43"/>
        <v>0</v>
      </c>
      <c r="I150" s="228">
        <v>2.5</v>
      </c>
      <c r="J150" s="228">
        <v>0</v>
      </c>
      <c r="K150" s="161">
        <f t="shared" si="44"/>
        <v>0.83333333333333337</v>
      </c>
    </row>
    <row r="151" spans="1:11" x14ac:dyDescent="0.2">
      <c r="B151" s="223"/>
      <c r="C151" s="223" t="s">
        <v>11</v>
      </c>
      <c r="D151" s="164">
        <v>17</v>
      </c>
      <c r="E151" s="225">
        <v>21</v>
      </c>
      <c r="F151" s="226">
        <f t="shared" si="45"/>
        <v>109.94764397905759</v>
      </c>
      <c r="G151" s="226">
        <f t="shared" si="42"/>
        <v>-9.9476439790575881</v>
      </c>
      <c r="H151" s="227">
        <f t="shared" si="43"/>
        <v>0</v>
      </c>
      <c r="I151" s="228">
        <v>2</v>
      </c>
      <c r="J151" s="228">
        <v>0</v>
      </c>
      <c r="K151" s="229">
        <f t="shared" si="44"/>
        <v>0.66666666666666663</v>
      </c>
    </row>
    <row r="152" spans="1:11" x14ac:dyDescent="0.2">
      <c r="B152" s="223"/>
      <c r="C152" s="223"/>
      <c r="D152" s="164">
        <v>19</v>
      </c>
      <c r="E152" s="225">
        <v>21.5</v>
      </c>
      <c r="F152" s="226">
        <f t="shared" si="45"/>
        <v>112.565445026178</v>
      </c>
      <c r="G152" s="226">
        <f t="shared" si="42"/>
        <v>-12.565445026177997</v>
      </c>
      <c r="H152" s="227">
        <f t="shared" si="43"/>
        <v>0</v>
      </c>
      <c r="I152" s="228">
        <v>3</v>
      </c>
      <c r="J152" s="228">
        <v>0</v>
      </c>
      <c r="K152" s="229">
        <f t="shared" si="44"/>
        <v>1</v>
      </c>
    </row>
    <row r="153" spans="1:11" x14ac:dyDescent="0.2">
      <c r="A153" s="122"/>
      <c r="B153" s="223"/>
      <c r="C153" s="223"/>
      <c r="D153" s="164">
        <v>22</v>
      </c>
      <c r="E153" s="225">
        <v>22.2</v>
      </c>
      <c r="F153" s="226">
        <f t="shared" ref="F153:F160" si="46">E153/$E$144*100</f>
        <v>116.23036649214657</v>
      </c>
      <c r="G153" s="226">
        <f t="shared" si="42"/>
        <v>-16.230366492146572</v>
      </c>
      <c r="H153" s="227">
        <f t="shared" si="43"/>
        <v>0</v>
      </c>
      <c r="I153" s="228">
        <v>1</v>
      </c>
      <c r="J153" s="228">
        <v>0</v>
      </c>
      <c r="K153" s="229">
        <f t="shared" si="44"/>
        <v>0.33333333333333331</v>
      </c>
    </row>
    <row r="154" spans="1:11" x14ac:dyDescent="0.2">
      <c r="A154" s="122"/>
      <c r="B154" s="223"/>
      <c r="C154" s="223"/>
      <c r="D154" s="164">
        <v>24</v>
      </c>
      <c r="E154" s="225">
        <v>23.4</v>
      </c>
      <c r="F154" s="226">
        <f t="shared" si="46"/>
        <v>122.51308900523559</v>
      </c>
      <c r="G154" s="226">
        <f t="shared" si="42"/>
        <v>-22.513089005235585</v>
      </c>
      <c r="H154" s="227">
        <f t="shared" si="43"/>
        <v>0</v>
      </c>
      <c r="I154" s="228">
        <v>1</v>
      </c>
      <c r="J154" s="228">
        <v>0</v>
      </c>
      <c r="K154" s="229">
        <f t="shared" si="44"/>
        <v>0.33333333333333331</v>
      </c>
    </row>
    <row r="155" spans="1:11" x14ac:dyDescent="0.2">
      <c r="A155" s="122"/>
      <c r="B155" s="223"/>
      <c r="C155" s="223"/>
      <c r="D155" s="177">
        <v>26</v>
      </c>
      <c r="E155" s="225">
        <v>23.2</v>
      </c>
      <c r="F155" s="226">
        <f t="shared" si="46"/>
        <v>121.46596858638743</v>
      </c>
      <c r="G155" s="226">
        <f t="shared" si="42"/>
        <v>-21.465968586387433</v>
      </c>
      <c r="H155" s="227">
        <f t="shared" si="43"/>
        <v>0</v>
      </c>
      <c r="I155" s="228">
        <v>1.5</v>
      </c>
      <c r="J155" s="228">
        <v>0</v>
      </c>
      <c r="K155" s="229">
        <f t="shared" si="44"/>
        <v>0.5</v>
      </c>
    </row>
    <row r="156" spans="1:11" x14ac:dyDescent="0.2">
      <c r="A156" s="122"/>
      <c r="B156" s="223"/>
      <c r="C156" s="223"/>
      <c r="D156" s="177">
        <v>29</v>
      </c>
      <c r="E156" s="225">
        <v>22.7</v>
      </c>
      <c r="F156" s="226">
        <f t="shared" si="46"/>
        <v>118.84816753926701</v>
      </c>
      <c r="G156" s="226">
        <f t="shared" ref="G156" si="47">100-F156</f>
        <v>-18.84816753926701</v>
      </c>
      <c r="H156" s="227">
        <f t="shared" ref="H156" si="48">IF(G156&lt;=1, 0, IF(AND(G156&gt;1, G156&lt;=5), 1, IF(AND(G156&gt;5, G156&lt;=10), 2, IF(AND(G156&gt;10, G156&lt;=15), 3, 4))))</f>
        <v>0</v>
      </c>
      <c r="I156" s="228">
        <v>2.5</v>
      </c>
      <c r="J156" s="228">
        <v>0.5</v>
      </c>
      <c r="K156" s="229">
        <f t="shared" ref="K156:K171" si="49">AVERAGE(H156:J156)</f>
        <v>1</v>
      </c>
    </row>
    <row r="157" spans="1:11" x14ac:dyDescent="0.2">
      <c r="A157" s="122"/>
      <c r="B157" s="223"/>
      <c r="C157" s="223" t="s">
        <v>30</v>
      </c>
      <c r="D157" s="158">
        <v>31</v>
      </c>
      <c r="E157" s="225">
        <v>22.4</v>
      </c>
      <c r="F157" s="226">
        <f t="shared" si="46"/>
        <v>117.27748691099475</v>
      </c>
      <c r="G157" s="226">
        <f t="shared" si="42"/>
        <v>-17.277486910994753</v>
      </c>
      <c r="H157" s="227">
        <f t="shared" si="43"/>
        <v>0</v>
      </c>
      <c r="I157" s="228">
        <v>2.5</v>
      </c>
      <c r="J157" s="228">
        <v>0.5</v>
      </c>
      <c r="K157" s="229">
        <f t="shared" si="49"/>
        <v>1</v>
      </c>
    </row>
    <row r="158" spans="1:11" x14ac:dyDescent="0.2">
      <c r="B158" s="223"/>
      <c r="C158" s="223"/>
      <c r="D158" s="164">
        <v>33</v>
      </c>
      <c r="E158" s="225">
        <v>21.1</v>
      </c>
      <c r="F158" s="226">
        <f t="shared" si="46"/>
        <v>110.47120418848166</v>
      </c>
      <c r="G158" s="226">
        <f t="shared" si="42"/>
        <v>-10.471204188481664</v>
      </c>
      <c r="H158" s="227">
        <f t="shared" si="43"/>
        <v>0</v>
      </c>
      <c r="I158" s="228">
        <v>2.5</v>
      </c>
      <c r="J158" s="228">
        <v>1</v>
      </c>
      <c r="K158" s="229">
        <f t="shared" si="49"/>
        <v>1.1666666666666667</v>
      </c>
    </row>
    <row r="159" spans="1:11" x14ac:dyDescent="0.2">
      <c r="B159" s="223"/>
      <c r="C159" s="223" t="s">
        <v>31</v>
      </c>
      <c r="D159" s="164">
        <v>36</v>
      </c>
      <c r="E159" s="225">
        <v>21.6</v>
      </c>
      <c r="F159" s="226">
        <f t="shared" si="46"/>
        <v>113.0890052356021</v>
      </c>
      <c r="G159" s="226">
        <f t="shared" si="42"/>
        <v>-13.089005235602102</v>
      </c>
      <c r="H159" s="227">
        <f t="shared" si="43"/>
        <v>0</v>
      </c>
      <c r="I159" s="228">
        <v>3.5</v>
      </c>
      <c r="J159" s="228">
        <v>2.5</v>
      </c>
      <c r="K159" s="229">
        <f t="shared" si="49"/>
        <v>2</v>
      </c>
    </row>
    <row r="160" spans="1:11" x14ac:dyDescent="0.2">
      <c r="B160" s="223"/>
      <c r="C160" s="223"/>
      <c r="D160" s="164">
        <v>38</v>
      </c>
      <c r="E160" s="225">
        <v>21.1</v>
      </c>
      <c r="F160" s="226">
        <f t="shared" si="46"/>
        <v>110.47120418848166</v>
      </c>
      <c r="G160" s="226">
        <f t="shared" si="42"/>
        <v>-10.471204188481664</v>
      </c>
      <c r="H160" s="227">
        <f t="shared" si="43"/>
        <v>0</v>
      </c>
      <c r="I160" s="228">
        <v>3</v>
      </c>
      <c r="J160" s="228">
        <v>0.5</v>
      </c>
      <c r="K160" s="229">
        <f t="shared" si="49"/>
        <v>1.1666666666666667</v>
      </c>
    </row>
    <row r="161" spans="1:11" x14ac:dyDescent="0.2">
      <c r="B161" s="223"/>
      <c r="C161" s="223"/>
      <c r="D161" s="164">
        <v>40</v>
      </c>
      <c r="E161" s="225">
        <v>23.2</v>
      </c>
      <c r="F161" s="226">
        <f t="shared" ref="F161:F171" si="50">E161/$E$144*100</f>
        <v>121.46596858638743</v>
      </c>
      <c r="G161" s="226">
        <f t="shared" ref="G161:G171" si="51">100-F161</f>
        <v>-21.465968586387433</v>
      </c>
      <c r="H161" s="227">
        <f t="shared" si="43"/>
        <v>0</v>
      </c>
      <c r="I161" s="228">
        <v>1</v>
      </c>
      <c r="J161" s="228">
        <v>1</v>
      </c>
      <c r="K161" s="229">
        <f t="shared" si="49"/>
        <v>0.66666666666666663</v>
      </c>
    </row>
    <row r="162" spans="1:11" x14ac:dyDescent="0.2">
      <c r="B162" s="223"/>
      <c r="C162" s="223" t="s">
        <v>30</v>
      </c>
      <c r="D162" s="164">
        <v>43</v>
      </c>
      <c r="E162" s="225">
        <v>22.4</v>
      </c>
      <c r="F162" s="226">
        <f t="shared" si="50"/>
        <v>117.27748691099475</v>
      </c>
      <c r="G162" s="226">
        <f t="shared" si="51"/>
        <v>-17.277486910994753</v>
      </c>
      <c r="H162" s="227">
        <f t="shared" si="43"/>
        <v>0</v>
      </c>
      <c r="I162" s="228">
        <v>1.5</v>
      </c>
      <c r="J162" s="228">
        <v>0</v>
      </c>
      <c r="K162" s="229">
        <f t="shared" si="49"/>
        <v>0.5</v>
      </c>
    </row>
    <row r="163" spans="1:11" x14ac:dyDescent="0.2">
      <c r="B163" s="223"/>
      <c r="C163" s="223"/>
      <c r="D163" s="164">
        <v>45</v>
      </c>
      <c r="E163" s="225">
        <v>23.4</v>
      </c>
      <c r="F163" s="226">
        <f t="shared" si="50"/>
        <v>122.51308900523559</v>
      </c>
      <c r="G163" s="226">
        <f t="shared" si="51"/>
        <v>-22.513089005235585</v>
      </c>
      <c r="H163" s="227">
        <f t="shared" si="43"/>
        <v>0</v>
      </c>
      <c r="I163" s="228">
        <v>2</v>
      </c>
      <c r="J163" s="228">
        <v>2</v>
      </c>
      <c r="K163" s="229">
        <f t="shared" si="49"/>
        <v>1.3333333333333333</v>
      </c>
    </row>
    <row r="164" spans="1:11" x14ac:dyDescent="0.2">
      <c r="B164" s="223"/>
      <c r="C164" s="223"/>
      <c r="D164" s="177">
        <v>47</v>
      </c>
      <c r="E164" s="225">
        <v>22.5</v>
      </c>
      <c r="F164" s="226">
        <f t="shared" si="50"/>
        <v>117.80104712041883</v>
      </c>
      <c r="G164" s="226">
        <f t="shared" si="51"/>
        <v>-17.801047120418829</v>
      </c>
      <c r="H164" s="227">
        <f t="shared" si="43"/>
        <v>0</v>
      </c>
      <c r="I164" s="228">
        <v>2.5</v>
      </c>
      <c r="J164" s="228">
        <v>2.5</v>
      </c>
      <c r="K164" s="229">
        <f t="shared" si="49"/>
        <v>1.6666666666666667</v>
      </c>
    </row>
    <row r="165" spans="1:11" x14ac:dyDescent="0.2">
      <c r="B165" s="223"/>
      <c r="C165" s="223" t="s">
        <v>31</v>
      </c>
      <c r="D165" s="177">
        <v>50</v>
      </c>
      <c r="E165" s="411">
        <v>23</v>
      </c>
      <c r="F165" s="226">
        <f t="shared" si="50"/>
        <v>120.41884816753925</v>
      </c>
      <c r="G165" s="226">
        <f t="shared" si="51"/>
        <v>-20.418848167539252</v>
      </c>
      <c r="H165" s="227">
        <f t="shared" si="43"/>
        <v>0</v>
      </c>
      <c r="I165" s="228">
        <v>3</v>
      </c>
      <c r="J165" s="228">
        <v>3</v>
      </c>
      <c r="K165" s="229">
        <f t="shared" si="49"/>
        <v>2</v>
      </c>
    </row>
    <row r="166" spans="1:11" x14ac:dyDescent="0.2">
      <c r="B166" s="223"/>
      <c r="C166" s="223"/>
      <c r="D166" s="177">
        <v>52</v>
      </c>
      <c r="E166" s="225">
        <v>23.8</v>
      </c>
      <c r="F166" s="226">
        <f t="shared" si="50"/>
        <v>124.60732984293192</v>
      </c>
      <c r="G166" s="226">
        <f t="shared" si="51"/>
        <v>-24.607329842931918</v>
      </c>
      <c r="H166" s="227">
        <f t="shared" si="43"/>
        <v>0</v>
      </c>
      <c r="I166" s="228">
        <v>2</v>
      </c>
      <c r="J166" s="228">
        <v>0.5</v>
      </c>
      <c r="K166" s="229">
        <f t="shared" si="49"/>
        <v>0.83333333333333337</v>
      </c>
    </row>
    <row r="167" spans="1:11" x14ac:dyDescent="0.2">
      <c r="B167" s="223"/>
      <c r="C167" s="223"/>
      <c r="D167" s="177">
        <v>54</v>
      </c>
      <c r="E167" s="411">
        <v>24</v>
      </c>
      <c r="F167" s="226">
        <f t="shared" si="50"/>
        <v>125.6544502617801</v>
      </c>
      <c r="G167" s="226">
        <f t="shared" si="51"/>
        <v>-25.654450261780099</v>
      </c>
      <c r="H167" s="227">
        <f t="shared" si="43"/>
        <v>0</v>
      </c>
      <c r="I167" s="228">
        <v>2</v>
      </c>
      <c r="J167" s="228">
        <v>1</v>
      </c>
      <c r="K167" s="229">
        <f t="shared" si="49"/>
        <v>1</v>
      </c>
    </row>
    <row r="168" spans="1:11" x14ac:dyDescent="0.2">
      <c r="B168" s="223"/>
      <c r="C168" s="223" t="s">
        <v>30</v>
      </c>
      <c r="D168" s="177">
        <v>57</v>
      </c>
      <c r="E168" s="225">
        <v>24.5</v>
      </c>
      <c r="F168" s="226">
        <f t="shared" si="50"/>
        <v>128.27225130890051</v>
      </c>
      <c r="G168" s="226">
        <f t="shared" si="51"/>
        <v>-28.272251308900508</v>
      </c>
      <c r="H168" s="227">
        <f t="shared" si="43"/>
        <v>0</v>
      </c>
      <c r="I168" s="228">
        <v>2</v>
      </c>
      <c r="J168" s="228">
        <v>0.5</v>
      </c>
      <c r="K168" s="229">
        <f t="shared" si="49"/>
        <v>0.83333333333333337</v>
      </c>
    </row>
    <row r="169" spans="1:11" x14ac:dyDescent="0.2">
      <c r="B169" s="223"/>
      <c r="C169" s="223"/>
      <c r="D169" s="177">
        <v>59</v>
      </c>
      <c r="E169" s="225">
        <v>24.4</v>
      </c>
      <c r="F169" s="226">
        <f t="shared" si="50"/>
        <v>127.74869109947642</v>
      </c>
      <c r="G169" s="226">
        <f t="shared" si="51"/>
        <v>-27.748691099476417</v>
      </c>
      <c r="H169" s="227">
        <f t="shared" si="43"/>
        <v>0</v>
      </c>
      <c r="I169" s="228">
        <v>2.5</v>
      </c>
      <c r="J169" s="228">
        <v>2.5</v>
      </c>
      <c r="K169" s="229">
        <f t="shared" si="49"/>
        <v>1.6666666666666667</v>
      </c>
    </row>
    <row r="170" spans="1:11" x14ac:dyDescent="0.2">
      <c r="B170" s="484"/>
      <c r="C170" s="484"/>
      <c r="D170" s="177">
        <v>61</v>
      </c>
      <c r="E170" s="485">
        <v>24</v>
      </c>
      <c r="F170" s="486">
        <f t="shared" si="50"/>
        <v>125.6544502617801</v>
      </c>
      <c r="G170" s="486">
        <f t="shared" si="51"/>
        <v>-25.654450261780099</v>
      </c>
      <c r="H170" s="487">
        <f t="shared" si="43"/>
        <v>0</v>
      </c>
      <c r="I170" s="488">
        <v>2.5</v>
      </c>
      <c r="J170" s="488">
        <v>2.5</v>
      </c>
      <c r="K170" s="489">
        <f t="shared" si="49"/>
        <v>1.6666666666666667</v>
      </c>
    </row>
    <row r="171" spans="1:11" x14ac:dyDescent="0.2">
      <c r="B171" s="223"/>
      <c r="C171" s="223"/>
      <c r="D171" s="224">
        <v>64</v>
      </c>
      <c r="E171" s="411">
        <v>24</v>
      </c>
      <c r="F171" s="226">
        <f t="shared" si="50"/>
        <v>125.6544502617801</v>
      </c>
      <c r="G171" s="226">
        <f t="shared" si="51"/>
        <v>-25.654450261780099</v>
      </c>
      <c r="H171" s="227">
        <f t="shared" si="43"/>
        <v>0</v>
      </c>
      <c r="I171" s="228">
        <v>3.5</v>
      </c>
      <c r="J171" s="228">
        <v>3</v>
      </c>
      <c r="K171" s="229">
        <f t="shared" si="49"/>
        <v>2.1666666666666665</v>
      </c>
    </row>
    <row r="172" spans="1:11" x14ac:dyDescent="0.2">
      <c r="B172" s="196"/>
      <c r="C172" s="196"/>
      <c r="D172" s="197"/>
      <c r="E172" s="198"/>
      <c r="F172" s="199"/>
      <c r="G172" s="199"/>
      <c r="H172" s="200"/>
      <c r="I172" s="201"/>
      <c r="J172" s="201"/>
    </row>
    <row r="175" spans="1:11" x14ac:dyDescent="0.2">
      <c r="A175" s="123" t="s">
        <v>41</v>
      </c>
      <c r="B175" s="232" t="s">
        <v>0</v>
      </c>
      <c r="C175" s="232" t="s">
        <v>36</v>
      </c>
      <c r="D175" s="480">
        <v>1</v>
      </c>
      <c r="E175" s="483">
        <v>18.8</v>
      </c>
      <c r="F175" s="481">
        <v>100</v>
      </c>
      <c r="G175" s="235">
        <f t="shared" ref="G175:G190" si="52">100-F175</f>
        <v>0</v>
      </c>
      <c r="H175" s="236">
        <f t="shared" ref="H175:H188" si="53">IF(G175&lt;=1, 0, IF(AND(G175&gt;1, G175&lt;=5), 1, IF(AND(G175&gt;5, G175&lt;=10), 2, IF(AND(G175&gt;10, G175&lt;=15), 3, 4))))</f>
        <v>0</v>
      </c>
      <c r="I175" s="237">
        <v>0</v>
      </c>
      <c r="J175" s="237">
        <v>0</v>
      </c>
      <c r="K175" s="236">
        <f t="shared" ref="K175:K181" si="54">AVERAGE(H175:J175)</f>
        <v>0</v>
      </c>
    </row>
    <row r="176" spans="1:11" x14ac:dyDescent="0.2">
      <c r="B176" s="238"/>
      <c r="C176" s="238"/>
      <c r="D176" s="239">
        <v>3</v>
      </c>
      <c r="E176" s="482">
        <v>16.600000000000001</v>
      </c>
      <c r="F176" s="241">
        <f t="shared" ref="F176:F181" si="55">E176/$E$175*100</f>
        <v>88.297872340425528</v>
      </c>
      <c r="G176" s="241">
        <f t="shared" si="52"/>
        <v>11.702127659574472</v>
      </c>
      <c r="H176" s="242">
        <f t="shared" si="53"/>
        <v>3</v>
      </c>
      <c r="I176" s="243">
        <v>3</v>
      </c>
      <c r="J176" s="237">
        <v>0</v>
      </c>
      <c r="K176" s="242">
        <f t="shared" si="54"/>
        <v>2</v>
      </c>
    </row>
    <row r="177" spans="2:11" x14ac:dyDescent="0.2">
      <c r="B177" s="238"/>
      <c r="C177" s="238"/>
      <c r="D177" s="239">
        <v>5</v>
      </c>
      <c r="E177" s="240">
        <v>17.3</v>
      </c>
      <c r="F177" s="241">
        <f t="shared" si="55"/>
        <v>92.021276595744681</v>
      </c>
      <c r="G177" s="241">
        <f t="shared" si="52"/>
        <v>7.9787234042553195</v>
      </c>
      <c r="H177" s="242">
        <f t="shared" si="53"/>
        <v>2</v>
      </c>
      <c r="I177" s="243">
        <v>1.5</v>
      </c>
      <c r="J177" s="237">
        <v>0</v>
      </c>
      <c r="K177" s="242">
        <f t="shared" si="54"/>
        <v>1.1666666666666667</v>
      </c>
    </row>
    <row r="178" spans="2:11" x14ac:dyDescent="0.2">
      <c r="B178" s="238"/>
      <c r="C178" s="238"/>
      <c r="D178" s="239">
        <v>8</v>
      </c>
      <c r="E178" s="244">
        <v>20.7</v>
      </c>
      <c r="F178" s="241">
        <f t="shared" si="55"/>
        <v>110.10638297872339</v>
      </c>
      <c r="G178" s="241">
        <f t="shared" si="52"/>
        <v>-10.106382978723389</v>
      </c>
      <c r="H178" s="242">
        <f t="shared" si="53"/>
        <v>0</v>
      </c>
      <c r="I178" s="243">
        <v>2</v>
      </c>
      <c r="J178" s="237">
        <v>0</v>
      </c>
      <c r="K178" s="242">
        <f t="shared" si="54"/>
        <v>0.66666666666666663</v>
      </c>
    </row>
    <row r="179" spans="2:11" x14ac:dyDescent="0.2">
      <c r="B179" s="238"/>
      <c r="C179" s="238"/>
      <c r="D179" s="239">
        <v>10</v>
      </c>
      <c r="E179" s="244">
        <v>21.6</v>
      </c>
      <c r="F179" s="241">
        <f t="shared" si="55"/>
        <v>114.89361702127661</v>
      </c>
      <c r="G179" s="241">
        <f t="shared" si="52"/>
        <v>-14.893617021276611</v>
      </c>
      <c r="H179" s="242">
        <f t="shared" si="53"/>
        <v>0</v>
      </c>
      <c r="I179" s="243">
        <v>4</v>
      </c>
      <c r="J179" s="237">
        <v>0</v>
      </c>
      <c r="K179" s="242">
        <f t="shared" si="54"/>
        <v>1.3333333333333333</v>
      </c>
    </row>
    <row r="180" spans="2:11" x14ac:dyDescent="0.2">
      <c r="B180" s="238"/>
      <c r="C180" s="238"/>
      <c r="D180" s="239">
        <v>12</v>
      </c>
      <c r="E180" s="244">
        <v>21.7</v>
      </c>
      <c r="F180" s="241">
        <f>E180/$E$175*100</f>
        <v>115.42553191489363</v>
      </c>
      <c r="G180" s="241">
        <f t="shared" si="52"/>
        <v>-15.425531914893625</v>
      </c>
      <c r="H180" s="242">
        <f t="shared" si="53"/>
        <v>0</v>
      </c>
      <c r="I180" s="243">
        <v>3.5</v>
      </c>
      <c r="J180" s="237">
        <v>0</v>
      </c>
      <c r="K180" s="242">
        <f t="shared" si="54"/>
        <v>1.1666666666666667</v>
      </c>
    </row>
    <row r="181" spans="2:11" x14ac:dyDescent="0.2">
      <c r="B181" s="245"/>
      <c r="C181" s="245" t="s">
        <v>13</v>
      </c>
      <c r="D181" s="246">
        <v>15</v>
      </c>
      <c r="E181" s="244">
        <v>22.5</v>
      </c>
      <c r="F181" s="241">
        <f t="shared" si="55"/>
        <v>119.68085106382978</v>
      </c>
      <c r="G181" s="247">
        <f t="shared" si="52"/>
        <v>-19.680851063829778</v>
      </c>
      <c r="H181" s="248">
        <f t="shared" si="53"/>
        <v>0</v>
      </c>
      <c r="I181" s="249">
        <v>2.5</v>
      </c>
      <c r="J181" s="237">
        <v>0</v>
      </c>
      <c r="K181" s="242">
        <f t="shared" si="54"/>
        <v>0.83333333333333337</v>
      </c>
    </row>
    <row r="182" spans="2:11" x14ac:dyDescent="0.2">
      <c r="B182" s="238"/>
      <c r="C182" s="238" t="s">
        <v>11</v>
      </c>
      <c r="D182" s="239">
        <v>17</v>
      </c>
      <c r="E182" s="250">
        <v>23</v>
      </c>
      <c r="F182" s="241">
        <f t="shared" ref="F182:F190" si="56">E182/$E$175*100</f>
        <v>122.34042553191489</v>
      </c>
      <c r="G182" s="241">
        <f t="shared" si="52"/>
        <v>-22.340425531914889</v>
      </c>
      <c r="H182" s="242">
        <f t="shared" si="53"/>
        <v>0</v>
      </c>
      <c r="I182" s="243">
        <v>3.5</v>
      </c>
      <c r="J182" s="237">
        <v>0</v>
      </c>
      <c r="K182" s="251">
        <f t="shared" ref="K182:K195" si="57">AVERAGE(H182:J182)</f>
        <v>1.1666666666666667</v>
      </c>
    </row>
    <row r="183" spans="2:11" x14ac:dyDescent="0.2">
      <c r="B183" s="238"/>
      <c r="C183" s="238"/>
      <c r="D183" s="239">
        <v>19</v>
      </c>
      <c r="E183" s="250">
        <v>22.8</v>
      </c>
      <c r="F183" s="241">
        <f t="shared" si="56"/>
        <v>121.27659574468086</v>
      </c>
      <c r="G183" s="241">
        <f t="shared" si="52"/>
        <v>-21.276595744680861</v>
      </c>
      <c r="H183" s="242">
        <f t="shared" si="53"/>
        <v>0</v>
      </c>
      <c r="I183" s="243">
        <v>3</v>
      </c>
      <c r="J183" s="237">
        <v>1.5</v>
      </c>
      <c r="K183" s="251">
        <f t="shared" si="57"/>
        <v>1.5</v>
      </c>
    </row>
    <row r="184" spans="2:11" x14ac:dyDescent="0.2">
      <c r="B184" s="238"/>
      <c r="C184" s="238"/>
      <c r="D184" s="239">
        <v>22</v>
      </c>
      <c r="E184" s="250">
        <v>22.8</v>
      </c>
      <c r="F184" s="241">
        <f t="shared" si="56"/>
        <v>121.27659574468086</v>
      </c>
      <c r="G184" s="241">
        <f t="shared" si="52"/>
        <v>-21.276595744680861</v>
      </c>
      <c r="H184" s="242">
        <f t="shared" si="53"/>
        <v>0</v>
      </c>
      <c r="I184" s="243">
        <v>3</v>
      </c>
      <c r="J184" s="237">
        <v>0.5</v>
      </c>
      <c r="K184" s="252">
        <f t="shared" si="57"/>
        <v>1.1666666666666667</v>
      </c>
    </row>
    <row r="185" spans="2:11" x14ac:dyDescent="0.2">
      <c r="B185" s="238"/>
      <c r="C185" s="238"/>
      <c r="D185" s="239">
        <v>24</v>
      </c>
      <c r="E185" s="392">
        <v>23</v>
      </c>
      <c r="F185" s="241">
        <f t="shared" si="56"/>
        <v>122.34042553191489</v>
      </c>
      <c r="G185" s="241">
        <f t="shared" si="52"/>
        <v>-22.340425531914889</v>
      </c>
      <c r="H185" s="242">
        <f t="shared" si="53"/>
        <v>0</v>
      </c>
      <c r="I185" s="243">
        <v>3.5</v>
      </c>
      <c r="J185" s="237">
        <v>0.5</v>
      </c>
      <c r="K185" s="252">
        <f t="shared" si="57"/>
        <v>1.3333333333333333</v>
      </c>
    </row>
    <row r="186" spans="2:11" x14ac:dyDescent="0.2">
      <c r="B186" s="253"/>
      <c r="C186" s="253"/>
      <c r="D186" s="254">
        <v>26</v>
      </c>
      <c r="E186" s="255">
        <v>23.1</v>
      </c>
      <c r="F186" s="241">
        <f t="shared" si="56"/>
        <v>122.87234042553192</v>
      </c>
      <c r="G186" s="256">
        <f t="shared" si="52"/>
        <v>-22.872340425531917</v>
      </c>
      <c r="H186" s="257">
        <f t="shared" si="53"/>
        <v>0</v>
      </c>
      <c r="I186" s="258">
        <v>2</v>
      </c>
      <c r="J186" s="237">
        <v>0</v>
      </c>
      <c r="K186" s="252">
        <f t="shared" si="57"/>
        <v>0.66666666666666663</v>
      </c>
    </row>
    <row r="187" spans="2:11" x14ac:dyDescent="0.2">
      <c r="B187" s="253"/>
      <c r="C187" s="253"/>
      <c r="D187" s="254">
        <v>29</v>
      </c>
      <c r="E187" s="255">
        <v>23.3</v>
      </c>
      <c r="F187" s="241">
        <f t="shared" si="56"/>
        <v>123.93617021276594</v>
      </c>
      <c r="G187" s="256">
        <f t="shared" ref="G187" si="58">100-F187</f>
        <v>-23.936170212765944</v>
      </c>
      <c r="H187" s="257">
        <f t="shared" ref="H187" si="59">IF(G187&lt;=1, 0, IF(AND(G187&gt;1, G187&lt;=5), 1, IF(AND(G187&gt;5, G187&lt;=10), 2, IF(AND(G187&gt;10, G187&lt;=15), 3, 4))))</f>
        <v>0</v>
      </c>
      <c r="I187" s="258">
        <v>1.5</v>
      </c>
      <c r="J187" s="237">
        <v>1</v>
      </c>
      <c r="K187" s="252">
        <f t="shared" si="57"/>
        <v>0.83333333333333337</v>
      </c>
    </row>
    <row r="188" spans="2:11" x14ac:dyDescent="0.2">
      <c r="B188" s="232"/>
      <c r="C188" s="232" t="s">
        <v>30</v>
      </c>
      <c r="D188" s="233">
        <v>31</v>
      </c>
      <c r="E188" s="259">
        <v>23.8</v>
      </c>
      <c r="F188" s="241">
        <f t="shared" si="56"/>
        <v>126.59574468085107</v>
      </c>
      <c r="G188" s="235">
        <f t="shared" si="52"/>
        <v>-26.59574468085107</v>
      </c>
      <c r="H188" s="236">
        <f t="shared" si="53"/>
        <v>0</v>
      </c>
      <c r="I188" s="237">
        <v>2</v>
      </c>
      <c r="J188" s="237">
        <v>1</v>
      </c>
      <c r="K188" s="252">
        <f t="shared" si="57"/>
        <v>1</v>
      </c>
    </row>
    <row r="189" spans="2:11" x14ac:dyDescent="0.2">
      <c r="B189" s="238"/>
      <c r="C189" s="238"/>
      <c r="D189" s="239">
        <v>33</v>
      </c>
      <c r="E189" s="259">
        <v>23.7</v>
      </c>
      <c r="F189" s="241">
        <f t="shared" si="56"/>
        <v>126.06382978723403</v>
      </c>
      <c r="G189" s="241">
        <f t="shared" si="52"/>
        <v>-26.063829787234027</v>
      </c>
      <c r="H189" s="242">
        <f>IF(G189&lt;=1, 0, IF(AND(G189&gt;1, G189&lt;=5), 1, IF(AND(G189&gt;5, G189&lt;=10), 2, IF(AND(G189&gt;10, G189&lt;=15), 3, 4))))</f>
        <v>0</v>
      </c>
      <c r="I189" s="237">
        <v>2</v>
      </c>
      <c r="J189" s="237">
        <v>1.5</v>
      </c>
      <c r="K189" s="252">
        <f t="shared" si="57"/>
        <v>1.1666666666666667</v>
      </c>
    </row>
    <row r="190" spans="2:11" x14ac:dyDescent="0.2">
      <c r="B190" s="238"/>
      <c r="C190" s="238" t="s">
        <v>31</v>
      </c>
      <c r="D190" s="239">
        <v>36</v>
      </c>
      <c r="E190" s="239">
        <v>20.3</v>
      </c>
      <c r="F190" s="241">
        <f t="shared" si="56"/>
        <v>107.97872340425532</v>
      </c>
      <c r="G190" s="260">
        <f t="shared" si="52"/>
        <v>-7.9787234042553195</v>
      </c>
      <c r="H190" s="242">
        <f t="shared" ref="H190:H195" si="60">IF(G190&lt;=1, 0, IF(AND(G190&gt;1, G190&lt;=5), 1, IF(AND(G190&gt;5, G190&lt;=10), 2, IF(AND(G190&gt;10, G190&lt;=15), 3, 4))))</f>
        <v>0</v>
      </c>
      <c r="I190" s="261">
        <v>3</v>
      </c>
      <c r="J190" s="237">
        <v>2</v>
      </c>
      <c r="K190" s="262">
        <f t="shared" si="57"/>
        <v>1.6666666666666667</v>
      </c>
    </row>
    <row r="191" spans="2:11" x14ac:dyDescent="0.2">
      <c r="B191" s="238"/>
      <c r="C191" s="238"/>
      <c r="D191" s="239">
        <v>38</v>
      </c>
      <c r="E191" s="239">
        <v>19.3</v>
      </c>
      <c r="F191" s="241">
        <f>E191/$E$175*100</f>
        <v>102.65957446808511</v>
      </c>
      <c r="G191" s="260">
        <f>100-F191</f>
        <v>-2.6595744680851112</v>
      </c>
      <c r="H191" s="242">
        <f t="shared" si="60"/>
        <v>0</v>
      </c>
      <c r="I191" s="261">
        <v>4</v>
      </c>
      <c r="J191" s="237">
        <v>1.5</v>
      </c>
      <c r="K191" s="252">
        <f t="shared" si="57"/>
        <v>1.8333333333333333</v>
      </c>
    </row>
    <row r="192" spans="2:11" x14ac:dyDescent="0.2">
      <c r="B192" s="238"/>
      <c r="C192" s="238"/>
      <c r="D192" s="239">
        <v>40</v>
      </c>
      <c r="E192" s="250">
        <v>17.5</v>
      </c>
      <c r="F192" s="241">
        <f>E192/$E$175*100</f>
        <v>93.085106382978722</v>
      </c>
      <c r="G192" s="241">
        <f>100-F192</f>
        <v>6.9148936170212778</v>
      </c>
      <c r="H192" s="238">
        <f t="shared" si="60"/>
        <v>2</v>
      </c>
      <c r="I192" s="237"/>
      <c r="J192" s="237"/>
      <c r="K192" s="252"/>
    </row>
    <row r="193" spans="1:11" x14ac:dyDescent="0.2">
      <c r="B193" s="238"/>
      <c r="C193" s="238" t="s">
        <v>30</v>
      </c>
      <c r="D193" s="239">
        <v>43</v>
      </c>
      <c r="E193" s="392">
        <v>18</v>
      </c>
      <c r="F193" s="241">
        <f>E193/$E$175*100</f>
        <v>95.744680851063819</v>
      </c>
      <c r="G193" s="241">
        <f>100-F193</f>
        <v>4.2553191489361808</v>
      </c>
      <c r="H193" s="242">
        <f t="shared" si="60"/>
        <v>1</v>
      </c>
      <c r="I193" s="237">
        <v>3.5</v>
      </c>
      <c r="J193" s="237">
        <v>0</v>
      </c>
      <c r="K193" s="252">
        <f t="shared" si="57"/>
        <v>1.5</v>
      </c>
    </row>
    <row r="194" spans="1:11" x14ac:dyDescent="0.2">
      <c r="B194" s="238"/>
      <c r="C194" s="238"/>
      <c r="D194" s="239">
        <v>45</v>
      </c>
      <c r="E194" s="250">
        <v>19.5</v>
      </c>
      <c r="F194" s="241">
        <f>E194/$E$175*100</f>
        <v>103.72340425531914</v>
      </c>
      <c r="G194" s="241">
        <f>100-F194</f>
        <v>-3.7234042553191387</v>
      </c>
      <c r="H194" s="242">
        <f t="shared" si="60"/>
        <v>0</v>
      </c>
      <c r="I194" s="237">
        <v>3.5</v>
      </c>
      <c r="J194" s="237">
        <v>2.5</v>
      </c>
      <c r="K194" s="252">
        <f t="shared" si="57"/>
        <v>2</v>
      </c>
    </row>
    <row r="195" spans="1:11" x14ac:dyDescent="0.2">
      <c r="B195" s="253"/>
      <c r="C195" s="253"/>
      <c r="D195" s="254">
        <v>47</v>
      </c>
      <c r="E195" s="255">
        <v>19.3</v>
      </c>
      <c r="F195" s="256">
        <f>E195/$E$175*100</f>
        <v>102.65957446808511</v>
      </c>
      <c r="G195" s="256">
        <f>100-F195</f>
        <v>-2.6595744680851112</v>
      </c>
      <c r="H195" s="257">
        <f t="shared" si="60"/>
        <v>0</v>
      </c>
      <c r="I195" s="258">
        <v>4</v>
      </c>
      <c r="J195" s="426">
        <v>3</v>
      </c>
      <c r="K195" s="427">
        <f t="shared" si="57"/>
        <v>2.3333333333333335</v>
      </c>
    </row>
    <row r="196" spans="1:11" ht="17" thickBot="1" x14ac:dyDescent="0.25">
      <c r="B196" s="472" t="s">
        <v>33</v>
      </c>
      <c r="C196" s="473"/>
      <c r="D196" s="474"/>
      <c r="E196" s="475"/>
      <c r="F196" s="476"/>
      <c r="G196" s="476"/>
      <c r="H196" s="477"/>
      <c r="I196" s="478"/>
      <c r="J196" s="478"/>
      <c r="K196" s="432"/>
    </row>
    <row r="197" spans="1:11" x14ac:dyDescent="0.2">
      <c r="A197" s="123" t="s">
        <v>41</v>
      </c>
      <c r="B197" s="428" t="s">
        <v>1</v>
      </c>
      <c r="C197" s="428" t="s">
        <v>36</v>
      </c>
      <c r="D197" s="233">
        <v>1</v>
      </c>
      <c r="E197" s="234">
        <v>19.100000000000001</v>
      </c>
      <c r="F197" s="429">
        <v>100</v>
      </c>
      <c r="G197" s="429">
        <f t="shared" ref="G197:G224" si="61">100-F197</f>
        <v>0</v>
      </c>
      <c r="H197" s="430">
        <f t="shared" ref="H197:H210" si="62">IF(G197&lt;=1, 0, IF(AND(G197&gt;1, G197&lt;=5), 1, IF(AND(G197&gt;5, G197&lt;=10), 2, IF(AND(G197&gt;10, G197&lt;=15), 3, 4))))</f>
        <v>0</v>
      </c>
      <c r="I197" s="431">
        <v>0</v>
      </c>
      <c r="J197" s="431">
        <v>0</v>
      </c>
      <c r="K197" s="430">
        <f t="shared" ref="K197:K208" si="63">AVERAGE(H197:J197)</f>
        <v>0</v>
      </c>
    </row>
    <row r="198" spans="1:11" x14ac:dyDescent="0.2">
      <c r="B198" s="238"/>
      <c r="C198" s="238"/>
      <c r="D198" s="239">
        <v>3</v>
      </c>
      <c r="E198" s="240">
        <v>17.399999999999999</v>
      </c>
      <c r="F198" s="241">
        <f t="shared" ref="F198:F204" si="64">E198/$E$197*100</f>
        <v>91.099476439790564</v>
      </c>
      <c r="G198" s="241">
        <f t="shared" si="61"/>
        <v>8.9005235602094359</v>
      </c>
      <c r="H198" s="242">
        <f t="shared" si="62"/>
        <v>2</v>
      </c>
      <c r="I198" s="243">
        <v>2</v>
      </c>
      <c r="J198" s="237">
        <v>0</v>
      </c>
      <c r="K198" s="242">
        <f t="shared" si="63"/>
        <v>1.3333333333333333</v>
      </c>
    </row>
    <row r="199" spans="1:11" x14ac:dyDescent="0.2">
      <c r="B199" s="238"/>
      <c r="C199" s="238"/>
      <c r="D199" s="239">
        <v>5</v>
      </c>
      <c r="E199" s="240">
        <v>16.5</v>
      </c>
      <c r="F199" s="241">
        <f t="shared" si="64"/>
        <v>86.387434554973822</v>
      </c>
      <c r="G199" s="241">
        <f t="shared" si="61"/>
        <v>13.612565445026178</v>
      </c>
      <c r="H199" s="242">
        <f t="shared" si="62"/>
        <v>3</v>
      </c>
      <c r="I199" s="243">
        <v>1</v>
      </c>
      <c r="J199" s="237">
        <v>0</v>
      </c>
      <c r="K199" s="242">
        <f t="shared" si="63"/>
        <v>1.3333333333333333</v>
      </c>
    </row>
    <row r="200" spans="1:11" x14ac:dyDescent="0.2">
      <c r="B200" s="238"/>
      <c r="C200" s="238"/>
      <c r="D200" s="239">
        <v>8</v>
      </c>
      <c r="E200" s="244">
        <v>20.399999999999999</v>
      </c>
      <c r="F200" s="241">
        <f t="shared" si="64"/>
        <v>106.80628272251307</v>
      </c>
      <c r="G200" s="241">
        <f t="shared" si="61"/>
        <v>-6.8062827225130746</v>
      </c>
      <c r="H200" s="242">
        <f t="shared" si="62"/>
        <v>0</v>
      </c>
      <c r="I200" s="243">
        <v>2</v>
      </c>
      <c r="J200" s="237">
        <v>0</v>
      </c>
      <c r="K200" s="236">
        <f t="shared" si="63"/>
        <v>0.66666666666666663</v>
      </c>
    </row>
    <row r="201" spans="1:11" x14ac:dyDescent="0.2">
      <c r="B201" s="238"/>
      <c r="C201" s="238"/>
      <c r="D201" s="239">
        <v>10</v>
      </c>
      <c r="E201" s="244">
        <v>21.9</v>
      </c>
      <c r="F201" s="241">
        <f t="shared" si="64"/>
        <v>114.65968586387434</v>
      </c>
      <c r="G201" s="241">
        <f t="shared" si="61"/>
        <v>-14.659685863874344</v>
      </c>
      <c r="H201" s="242">
        <f t="shared" si="62"/>
        <v>0</v>
      </c>
      <c r="I201" s="243">
        <v>2.5</v>
      </c>
      <c r="J201" s="237">
        <v>0</v>
      </c>
      <c r="K201" s="236">
        <f t="shared" si="63"/>
        <v>0.83333333333333337</v>
      </c>
    </row>
    <row r="202" spans="1:11" x14ac:dyDescent="0.2">
      <c r="B202" s="238"/>
      <c r="C202" s="238"/>
      <c r="D202" s="239">
        <v>12</v>
      </c>
      <c r="E202" s="244">
        <v>23</v>
      </c>
      <c r="F202" s="241">
        <f t="shared" si="64"/>
        <v>120.41884816753925</v>
      </c>
      <c r="G202" s="241">
        <f t="shared" si="61"/>
        <v>-20.418848167539252</v>
      </c>
      <c r="H202" s="242">
        <f t="shared" si="62"/>
        <v>0</v>
      </c>
      <c r="I202" s="243">
        <v>3.5</v>
      </c>
      <c r="J202" s="237">
        <v>0</v>
      </c>
      <c r="K202" s="236">
        <f t="shared" si="63"/>
        <v>1.1666666666666667</v>
      </c>
    </row>
    <row r="203" spans="1:11" x14ac:dyDescent="0.2">
      <c r="B203" s="245"/>
      <c r="C203" s="245" t="s">
        <v>13</v>
      </c>
      <c r="D203" s="246">
        <v>15</v>
      </c>
      <c r="E203" s="244">
        <v>22.7</v>
      </c>
      <c r="F203" s="241">
        <f t="shared" si="64"/>
        <v>118.84816753926701</v>
      </c>
      <c r="G203" s="247">
        <f t="shared" si="61"/>
        <v>-18.84816753926701</v>
      </c>
      <c r="H203" s="248">
        <f t="shared" si="62"/>
        <v>0</v>
      </c>
      <c r="I203" s="249">
        <v>2</v>
      </c>
      <c r="J203" s="237">
        <v>0</v>
      </c>
      <c r="K203" s="236">
        <f t="shared" si="63"/>
        <v>0.66666666666666663</v>
      </c>
    </row>
    <row r="204" spans="1:11" x14ac:dyDescent="0.2">
      <c r="B204" s="238"/>
      <c r="C204" s="238" t="s">
        <v>11</v>
      </c>
      <c r="D204" s="239">
        <v>17</v>
      </c>
      <c r="E204" s="250">
        <v>22.9</v>
      </c>
      <c r="F204" s="241">
        <f t="shared" si="64"/>
        <v>119.89528795811518</v>
      </c>
      <c r="G204" s="241">
        <f t="shared" si="61"/>
        <v>-19.895287958115176</v>
      </c>
      <c r="H204" s="242">
        <f t="shared" si="62"/>
        <v>0</v>
      </c>
      <c r="I204" s="243">
        <v>3.5</v>
      </c>
      <c r="J204" s="237">
        <v>0</v>
      </c>
      <c r="K204" s="251">
        <f t="shared" si="63"/>
        <v>1.1666666666666667</v>
      </c>
    </row>
    <row r="205" spans="1:11" x14ac:dyDescent="0.2">
      <c r="B205" s="238"/>
      <c r="C205" s="238"/>
      <c r="D205" s="239">
        <v>19</v>
      </c>
      <c r="E205" s="250">
        <v>23.2</v>
      </c>
      <c r="F205" s="241">
        <f t="shared" ref="F205:F213" si="65">E205/$E$197*100</f>
        <v>121.46596858638743</v>
      </c>
      <c r="G205" s="241">
        <f t="shared" si="61"/>
        <v>-21.465968586387433</v>
      </c>
      <c r="H205" s="242">
        <f t="shared" si="62"/>
        <v>0</v>
      </c>
      <c r="I205" s="243">
        <v>4</v>
      </c>
      <c r="J205" s="237">
        <v>1</v>
      </c>
      <c r="K205" s="251">
        <f t="shared" si="63"/>
        <v>1.6666666666666667</v>
      </c>
    </row>
    <row r="206" spans="1:11" x14ac:dyDescent="0.2">
      <c r="B206" s="238"/>
      <c r="C206" s="238"/>
      <c r="D206" s="239">
        <v>22</v>
      </c>
      <c r="E206" s="250">
        <v>22.8</v>
      </c>
      <c r="F206" s="241">
        <f t="shared" si="65"/>
        <v>119.37172774869109</v>
      </c>
      <c r="G206" s="241">
        <f t="shared" si="61"/>
        <v>-19.371727748691086</v>
      </c>
      <c r="H206" s="242">
        <f t="shared" si="62"/>
        <v>0</v>
      </c>
      <c r="I206" s="243">
        <v>2.5</v>
      </c>
      <c r="J206" s="237">
        <v>1</v>
      </c>
      <c r="K206" s="252">
        <f t="shared" si="63"/>
        <v>1.1666666666666667</v>
      </c>
    </row>
    <row r="207" spans="1:11" x14ac:dyDescent="0.2">
      <c r="B207" s="238"/>
      <c r="C207" s="238"/>
      <c r="D207" s="239">
        <v>24</v>
      </c>
      <c r="E207" s="250">
        <v>23.5</v>
      </c>
      <c r="F207" s="241">
        <f t="shared" si="65"/>
        <v>123.03664921465966</v>
      </c>
      <c r="G207" s="241">
        <f t="shared" si="61"/>
        <v>-23.036649214659661</v>
      </c>
      <c r="H207" s="242">
        <f t="shared" si="62"/>
        <v>0</v>
      </c>
      <c r="I207" s="243">
        <v>3.5</v>
      </c>
      <c r="J207" s="237">
        <v>0</v>
      </c>
      <c r="K207" s="252">
        <f t="shared" si="63"/>
        <v>1.1666666666666667</v>
      </c>
    </row>
    <row r="208" spans="1:11" x14ac:dyDescent="0.2">
      <c r="B208" s="253"/>
      <c r="C208" s="253"/>
      <c r="D208" s="254">
        <v>26</v>
      </c>
      <c r="E208" s="255">
        <v>22.9</v>
      </c>
      <c r="F208" s="256">
        <f t="shared" si="65"/>
        <v>119.89528795811518</v>
      </c>
      <c r="G208" s="256">
        <f t="shared" si="61"/>
        <v>-19.895287958115176</v>
      </c>
      <c r="H208" s="257">
        <f t="shared" si="62"/>
        <v>0</v>
      </c>
      <c r="I208" s="258">
        <v>3</v>
      </c>
      <c r="J208" s="237">
        <v>0</v>
      </c>
      <c r="K208" s="252">
        <f t="shared" si="63"/>
        <v>1</v>
      </c>
    </row>
    <row r="209" spans="2:11" x14ac:dyDescent="0.2">
      <c r="B209" s="253"/>
      <c r="C209" s="253"/>
      <c r="D209" s="254">
        <v>29</v>
      </c>
      <c r="E209" s="255">
        <v>24.2</v>
      </c>
      <c r="F209" s="256">
        <f t="shared" si="65"/>
        <v>126.70157068062827</v>
      </c>
      <c r="G209" s="256">
        <f t="shared" ref="G209" si="66">100-F209</f>
        <v>-26.701570680628265</v>
      </c>
      <c r="H209" s="257">
        <f t="shared" ref="H209" si="67">IF(G209&lt;=1, 0, IF(AND(G209&gt;1, G209&lt;=5), 1, IF(AND(G209&gt;5, G209&lt;=10), 2, IF(AND(G209&gt;10, G209&lt;=15), 3, 4))))</f>
        <v>0</v>
      </c>
      <c r="I209" s="258">
        <v>2.5</v>
      </c>
      <c r="J209" s="237">
        <v>0</v>
      </c>
      <c r="K209" s="252">
        <f t="shared" ref="K209:K211" si="68">AVERAGE(H209:J209)</f>
        <v>0.83333333333333337</v>
      </c>
    </row>
    <row r="210" spans="2:11" x14ac:dyDescent="0.2">
      <c r="B210" s="232"/>
      <c r="C210" s="232" t="s">
        <v>30</v>
      </c>
      <c r="D210" s="233">
        <v>31</v>
      </c>
      <c r="E210" s="400">
        <v>24</v>
      </c>
      <c r="F210" s="235">
        <f t="shared" si="65"/>
        <v>125.6544502617801</v>
      </c>
      <c r="G210" s="235">
        <f t="shared" si="61"/>
        <v>-25.654450261780099</v>
      </c>
      <c r="H210" s="236">
        <f t="shared" si="62"/>
        <v>0</v>
      </c>
      <c r="I210" s="237">
        <v>2.5</v>
      </c>
      <c r="J210" s="237">
        <v>1</v>
      </c>
      <c r="K210" s="252">
        <f t="shared" si="68"/>
        <v>1.1666666666666667</v>
      </c>
    </row>
    <row r="211" spans="2:11" x14ac:dyDescent="0.2">
      <c r="B211" s="238"/>
      <c r="C211" s="238"/>
      <c r="D211" s="239">
        <v>33</v>
      </c>
      <c r="E211" s="400">
        <v>25</v>
      </c>
      <c r="F211" s="241">
        <f t="shared" si="65"/>
        <v>130.89005235602093</v>
      </c>
      <c r="G211" s="241">
        <f t="shared" si="61"/>
        <v>-30.890052356020931</v>
      </c>
      <c r="H211" s="242">
        <f>IF(G211&lt;=1, 0, IF(AND(G211&gt;1, G211&lt;=5), 1, IF(AND(G211&gt;5, G211&lt;=10), 2, IF(AND(G211&gt;10, G211&lt;=15), 3, 4))))</f>
        <v>0</v>
      </c>
      <c r="I211" s="237">
        <v>2</v>
      </c>
      <c r="J211" s="237">
        <v>1.5</v>
      </c>
      <c r="K211" s="252">
        <f t="shared" si="68"/>
        <v>1.1666666666666667</v>
      </c>
    </row>
    <row r="212" spans="2:11" x14ac:dyDescent="0.2">
      <c r="B212" s="238"/>
      <c r="C212" s="238" t="s">
        <v>31</v>
      </c>
      <c r="D212" s="239">
        <v>36</v>
      </c>
      <c r="E212" s="239">
        <v>20.7</v>
      </c>
      <c r="F212" s="260">
        <f t="shared" si="65"/>
        <v>108.37696335078533</v>
      </c>
      <c r="G212" s="260">
        <f t="shared" si="61"/>
        <v>-8.3769633507853314</v>
      </c>
      <c r="H212" s="238">
        <f t="shared" ref="H212:H213" si="69">IF(G212&lt;=1, 0, IF(AND(G212&gt;1, G212&lt;=5), 1, IF(AND(G212&gt;5, G212&lt;=10), 2, IF(AND(G212&gt;10, G212&lt;=15), 3, 4))))</f>
        <v>0</v>
      </c>
      <c r="I212" s="261"/>
      <c r="J212" s="237"/>
      <c r="K212" s="262"/>
    </row>
    <row r="213" spans="2:11" x14ac:dyDescent="0.2">
      <c r="B213" s="238"/>
      <c r="C213" s="238"/>
      <c r="D213" s="239">
        <v>38</v>
      </c>
      <c r="E213" s="250">
        <v>21.2</v>
      </c>
      <c r="F213" s="241">
        <f t="shared" si="65"/>
        <v>110.99476439790574</v>
      </c>
      <c r="G213" s="241">
        <f t="shared" si="61"/>
        <v>-10.99476439790574</v>
      </c>
      <c r="H213" s="242">
        <f t="shared" si="69"/>
        <v>0</v>
      </c>
      <c r="I213" s="237"/>
      <c r="J213" s="237"/>
      <c r="K213" s="252"/>
    </row>
    <row r="214" spans="2:11" x14ac:dyDescent="0.2">
      <c r="B214" s="238"/>
      <c r="C214" s="238"/>
      <c r="D214" s="239">
        <v>40</v>
      </c>
      <c r="E214" s="250">
        <v>19.7</v>
      </c>
      <c r="F214" s="241">
        <f t="shared" ref="F214:F224" si="70">E214/$E$197*100</f>
        <v>103.1413612565445</v>
      </c>
      <c r="G214" s="241">
        <f t="shared" si="61"/>
        <v>-3.1413612565444993</v>
      </c>
      <c r="H214" s="242">
        <f t="shared" ref="H214:H224" si="71">IF(G214&lt;=1, 0, IF(AND(G214&gt;1, G214&lt;=5), 1, IF(AND(G214&gt;5, G214&lt;=10), 2, IF(AND(G214&gt;10, G214&lt;=15), 3, 4))))</f>
        <v>0</v>
      </c>
      <c r="I214" s="237">
        <v>3.5</v>
      </c>
      <c r="J214" s="237">
        <v>0</v>
      </c>
      <c r="K214" s="252">
        <f t="shared" ref="K214:K224" si="72">AVERAGE(H214:J214)</f>
        <v>1.1666666666666667</v>
      </c>
    </row>
    <row r="215" spans="2:11" x14ac:dyDescent="0.2">
      <c r="B215" s="238"/>
      <c r="C215" s="238" t="s">
        <v>30</v>
      </c>
      <c r="D215" s="239">
        <v>43</v>
      </c>
      <c r="E215" s="250">
        <v>20.3</v>
      </c>
      <c r="F215" s="241">
        <f t="shared" si="70"/>
        <v>106.28272251308901</v>
      </c>
      <c r="G215" s="241">
        <f t="shared" si="61"/>
        <v>-6.2827225130890128</v>
      </c>
      <c r="H215" s="242">
        <f t="shared" si="71"/>
        <v>0</v>
      </c>
      <c r="I215" s="237">
        <v>3</v>
      </c>
      <c r="J215" s="237">
        <v>0</v>
      </c>
      <c r="K215" s="252">
        <f t="shared" si="72"/>
        <v>1</v>
      </c>
    </row>
    <row r="216" spans="2:11" x14ac:dyDescent="0.2">
      <c r="B216" s="238"/>
      <c r="C216" s="238"/>
      <c r="D216" s="239">
        <v>45</v>
      </c>
      <c r="E216" s="250">
        <v>21.2</v>
      </c>
      <c r="F216" s="241">
        <f t="shared" si="70"/>
        <v>110.99476439790574</v>
      </c>
      <c r="G216" s="241">
        <f t="shared" si="61"/>
        <v>-10.99476439790574</v>
      </c>
      <c r="H216" s="242">
        <f t="shared" si="71"/>
        <v>0</v>
      </c>
      <c r="I216" s="237">
        <v>4</v>
      </c>
      <c r="J216" s="237">
        <v>1</v>
      </c>
      <c r="K216" s="252">
        <f t="shared" si="72"/>
        <v>1.6666666666666667</v>
      </c>
    </row>
    <row r="217" spans="2:11" x14ac:dyDescent="0.2">
      <c r="B217" s="253"/>
      <c r="C217" s="253"/>
      <c r="D217" s="254">
        <v>47</v>
      </c>
      <c r="E217" s="255">
        <v>21.4</v>
      </c>
      <c r="F217" s="256">
        <f t="shared" si="70"/>
        <v>112.04188481675391</v>
      </c>
      <c r="G217" s="256">
        <f t="shared" si="61"/>
        <v>-12.041884816753907</v>
      </c>
      <c r="H217" s="257">
        <f t="shared" si="71"/>
        <v>0</v>
      </c>
      <c r="I217" s="263">
        <v>3.5</v>
      </c>
      <c r="J217" s="237">
        <v>2</v>
      </c>
      <c r="K217" s="252">
        <f t="shared" si="72"/>
        <v>1.8333333333333333</v>
      </c>
    </row>
    <row r="218" spans="2:11" x14ac:dyDescent="0.2">
      <c r="B218" s="253"/>
      <c r="C218" s="253" t="s">
        <v>31</v>
      </c>
      <c r="D218" s="254">
        <v>50</v>
      </c>
      <c r="E218" s="255">
        <v>21.9</v>
      </c>
      <c r="F218" s="241">
        <f t="shared" si="70"/>
        <v>114.65968586387434</v>
      </c>
      <c r="G218" s="241">
        <f t="shared" si="61"/>
        <v>-14.659685863874344</v>
      </c>
      <c r="H218" s="242">
        <f t="shared" si="71"/>
        <v>0</v>
      </c>
      <c r="I218" s="264">
        <v>3</v>
      </c>
      <c r="J218" s="237">
        <v>1</v>
      </c>
      <c r="K218" s="252">
        <f t="shared" si="72"/>
        <v>1.3333333333333333</v>
      </c>
    </row>
    <row r="219" spans="2:11" x14ac:dyDescent="0.2">
      <c r="B219" s="253"/>
      <c r="C219" s="253"/>
      <c r="D219" s="254">
        <v>52</v>
      </c>
      <c r="E219" s="255">
        <v>21.7</v>
      </c>
      <c r="F219" s="256">
        <f t="shared" si="70"/>
        <v>113.61256544502616</v>
      </c>
      <c r="G219" s="256">
        <f t="shared" si="61"/>
        <v>-13.612565445026164</v>
      </c>
      <c r="H219" s="257">
        <f t="shared" si="71"/>
        <v>0</v>
      </c>
      <c r="I219" s="264">
        <v>3.5</v>
      </c>
      <c r="J219" s="237">
        <v>0.5</v>
      </c>
      <c r="K219" s="252">
        <f t="shared" si="72"/>
        <v>1.3333333333333333</v>
      </c>
    </row>
    <row r="220" spans="2:11" x14ac:dyDescent="0.2">
      <c r="B220" s="253"/>
      <c r="C220" s="253"/>
      <c r="D220" s="254">
        <v>54</v>
      </c>
      <c r="E220" s="255">
        <v>23.4</v>
      </c>
      <c r="F220" s="256">
        <f t="shared" si="70"/>
        <v>122.51308900523559</v>
      </c>
      <c r="G220" s="256">
        <f t="shared" si="61"/>
        <v>-22.513089005235585</v>
      </c>
      <c r="H220" s="257">
        <f t="shared" si="71"/>
        <v>0</v>
      </c>
      <c r="I220" s="264">
        <v>2.5</v>
      </c>
      <c r="J220" s="237">
        <v>1</v>
      </c>
      <c r="K220" s="252">
        <f t="shared" si="72"/>
        <v>1.1666666666666667</v>
      </c>
    </row>
    <row r="221" spans="2:11" x14ac:dyDescent="0.2">
      <c r="B221" s="253"/>
      <c r="C221" s="253" t="s">
        <v>30</v>
      </c>
      <c r="D221" s="254">
        <v>57</v>
      </c>
      <c r="E221" s="451">
        <v>24</v>
      </c>
      <c r="F221" s="256">
        <f t="shared" si="70"/>
        <v>125.6544502617801</v>
      </c>
      <c r="G221" s="256">
        <f t="shared" si="61"/>
        <v>-25.654450261780099</v>
      </c>
      <c r="H221" s="257">
        <f t="shared" si="71"/>
        <v>0</v>
      </c>
      <c r="I221" s="264">
        <v>2.5</v>
      </c>
      <c r="J221" s="237">
        <v>1</v>
      </c>
      <c r="K221" s="252">
        <f t="shared" si="72"/>
        <v>1.1666666666666667</v>
      </c>
    </row>
    <row r="222" spans="2:11" x14ac:dyDescent="0.2">
      <c r="B222" s="253"/>
      <c r="C222" s="253"/>
      <c r="D222" s="254">
        <v>59</v>
      </c>
      <c r="E222" s="255">
        <v>24.5</v>
      </c>
      <c r="F222" s="256">
        <f t="shared" si="70"/>
        <v>128.27225130890051</v>
      </c>
      <c r="G222" s="256">
        <f t="shared" si="61"/>
        <v>-28.272251308900508</v>
      </c>
      <c r="H222" s="257">
        <f t="shared" si="71"/>
        <v>0</v>
      </c>
      <c r="I222" s="264">
        <v>2.5</v>
      </c>
      <c r="J222" s="237">
        <v>1.5</v>
      </c>
      <c r="K222" s="252">
        <f t="shared" si="72"/>
        <v>1.3333333333333333</v>
      </c>
    </row>
    <row r="223" spans="2:11" x14ac:dyDescent="0.2">
      <c r="B223" s="253"/>
      <c r="C223" s="253"/>
      <c r="D223" s="254">
        <v>61</v>
      </c>
      <c r="E223" s="255">
        <v>24.5</v>
      </c>
      <c r="F223" s="256">
        <f t="shared" si="70"/>
        <v>128.27225130890051</v>
      </c>
      <c r="G223" s="256">
        <f t="shared" si="61"/>
        <v>-28.272251308900508</v>
      </c>
      <c r="H223" s="257">
        <f t="shared" si="71"/>
        <v>0</v>
      </c>
      <c r="I223" s="264">
        <v>1.5</v>
      </c>
      <c r="J223" s="237">
        <v>1.5</v>
      </c>
      <c r="K223" s="252">
        <f t="shared" si="72"/>
        <v>1</v>
      </c>
    </row>
    <row r="224" spans="2:11" ht="17" thickBot="1" x14ac:dyDescent="0.25">
      <c r="B224" s="266"/>
      <c r="C224" s="266"/>
      <c r="D224" s="267">
        <v>64</v>
      </c>
      <c r="E224" s="268">
        <v>24.7</v>
      </c>
      <c r="F224" s="269">
        <f t="shared" si="70"/>
        <v>129.31937172774869</v>
      </c>
      <c r="G224" s="269">
        <f t="shared" si="61"/>
        <v>-29.319371727748688</v>
      </c>
      <c r="H224" s="270">
        <f t="shared" si="71"/>
        <v>0</v>
      </c>
      <c r="I224" s="433">
        <v>2.5</v>
      </c>
      <c r="J224" s="434">
        <v>1</v>
      </c>
      <c r="K224" s="271">
        <f t="shared" si="72"/>
        <v>1.1666666666666667</v>
      </c>
    </row>
    <row r="225" spans="1:11" x14ac:dyDescent="0.2">
      <c r="A225" s="123" t="s">
        <v>41</v>
      </c>
      <c r="B225" s="272" t="s">
        <v>2</v>
      </c>
      <c r="C225" s="273" t="s">
        <v>36</v>
      </c>
      <c r="D225" s="233">
        <v>1</v>
      </c>
      <c r="E225" s="274">
        <v>17.8</v>
      </c>
      <c r="F225" s="275">
        <v>100</v>
      </c>
      <c r="G225" s="275">
        <f t="shared" ref="G225:G236" si="73">100-F225</f>
        <v>0</v>
      </c>
      <c r="H225" s="276">
        <f t="shared" ref="H225:H236" si="74">IF(G225&lt;=1, 0, IF(AND(G225&gt;1, G225&lt;=5), 1, IF(AND(G225&gt;5, G225&lt;=10), 2, IF(AND(G225&gt;10, G225&lt;=15), 3, 4))))</f>
        <v>0</v>
      </c>
      <c r="I225" s="265">
        <v>0</v>
      </c>
      <c r="J225" s="265">
        <v>0</v>
      </c>
      <c r="K225" s="236">
        <f t="shared" ref="K225:K236" si="75">AVERAGE(H225:J225)</f>
        <v>0</v>
      </c>
    </row>
    <row r="226" spans="1:11" x14ac:dyDescent="0.2">
      <c r="B226" s="277"/>
      <c r="C226" s="277"/>
      <c r="D226" s="239">
        <v>3</v>
      </c>
      <c r="E226" s="279">
        <v>15.6</v>
      </c>
      <c r="F226" s="241">
        <f t="shared" ref="F226:F236" si="76">E226/$E$225*100</f>
        <v>87.640449438202239</v>
      </c>
      <c r="G226" s="280">
        <f t="shared" si="73"/>
        <v>12.359550561797761</v>
      </c>
      <c r="H226" s="281">
        <f t="shared" si="74"/>
        <v>3</v>
      </c>
      <c r="I226" s="282">
        <v>3</v>
      </c>
      <c r="J226" s="282">
        <v>0</v>
      </c>
      <c r="K226" s="236">
        <f t="shared" si="75"/>
        <v>2</v>
      </c>
    </row>
    <row r="227" spans="1:11" x14ac:dyDescent="0.2">
      <c r="B227" s="277"/>
      <c r="C227" s="277"/>
      <c r="D227" s="239">
        <v>5</v>
      </c>
      <c r="E227" s="279">
        <v>16.2</v>
      </c>
      <c r="F227" s="241">
        <f t="shared" si="76"/>
        <v>91.011235955056165</v>
      </c>
      <c r="G227" s="280">
        <f t="shared" si="73"/>
        <v>8.9887640449438351</v>
      </c>
      <c r="H227" s="281">
        <f t="shared" si="74"/>
        <v>2</v>
      </c>
      <c r="I227" s="282">
        <v>2.5</v>
      </c>
      <c r="J227" s="282">
        <v>0</v>
      </c>
      <c r="K227" s="236">
        <f t="shared" si="75"/>
        <v>1.5</v>
      </c>
    </row>
    <row r="228" spans="1:11" x14ac:dyDescent="0.2">
      <c r="B228" s="277"/>
      <c r="C228" s="277"/>
      <c r="D228" s="239">
        <v>8</v>
      </c>
      <c r="E228" s="279">
        <v>20</v>
      </c>
      <c r="F228" s="241">
        <f t="shared" si="76"/>
        <v>112.35955056179773</v>
      </c>
      <c r="G228" s="280">
        <f t="shared" si="73"/>
        <v>-12.359550561797732</v>
      </c>
      <c r="H228" s="281">
        <f t="shared" si="74"/>
        <v>0</v>
      </c>
      <c r="I228" s="282">
        <v>1.5</v>
      </c>
      <c r="J228" s="282">
        <v>0</v>
      </c>
      <c r="K228" s="236">
        <f t="shared" si="75"/>
        <v>0.5</v>
      </c>
    </row>
    <row r="229" spans="1:11" x14ac:dyDescent="0.2">
      <c r="B229" s="277"/>
      <c r="C229" s="277"/>
      <c r="D229" s="239">
        <v>10</v>
      </c>
      <c r="E229" s="279">
        <v>21.6</v>
      </c>
      <c r="F229" s="241">
        <f t="shared" si="76"/>
        <v>121.34831460674158</v>
      </c>
      <c r="G229" s="280">
        <f t="shared" si="73"/>
        <v>-21.348314606741582</v>
      </c>
      <c r="H229" s="281">
        <f t="shared" si="74"/>
        <v>0</v>
      </c>
      <c r="I229" s="282">
        <v>2</v>
      </c>
      <c r="J229" s="282">
        <v>0</v>
      </c>
      <c r="K229" s="236">
        <f t="shared" si="75"/>
        <v>0.66666666666666663</v>
      </c>
    </row>
    <row r="230" spans="1:11" x14ac:dyDescent="0.2">
      <c r="B230" s="277"/>
      <c r="C230" s="277"/>
      <c r="D230" s="239">
        <v>12</v>
      </c>
      <c r="E230" s="279">
        <v>21.1</v>
      </c>
      <c r="F230" s="241">
        <f t="shared" si="76"/>
        <v>118.53932584269664</v>
      </c>
      <c r="G230" s="280">
        <f t="shared" si="73"/>
        <v>-18.539325842696641</v>
      </c>
      <c r="H230" s="281">
        <f t="shared" si="74"/>
        <v>0</v>
      </c>
      <c r="I230" s="282">
        <v>3.5</v>
      </c>
      <c r="J230" s="282">
        <v>0</v>
      </c>
      <c r="K230" s="236">
        <f t="shared" si="75"/>
        <v>1.1666666666666667</v>
      </c>
    </row>
    <row r="231" spans="1:11" x14ac:dyDescent="0.2">
      <c r="B231" s="277"/>
      <c r="C231" s="284" t="s">
        <v>13</v>
      </c>
      <c r="D231" s="246">
        <v>15</v>
      </c>
      <c r="E231" s="279">
        <v>21.9</v>
      </c>
      <c r="F231" s="241">
        <f t="shared" si="76"/>
        <v>123.03370786516852</v>
      </c>
      <c r="G231" s="280">
        <f t="shared" si="73"/>
        <v>-23.033707865168523</v>
      </c>
      <c r="H231" s="281">
        <f t="shared" si="74"/>
        <v>0</v>
      </c>
      <c r="I231" s="282">
        <v>3</v>
      </c>
      <c r="J231" s="282">
        <v>0</v>
      </c>
      <c r="K231" s="236">
        <f t="shared" si="75"/>
        <v>1</v>
      </c>
    </row>
    <row r="232" spans="1:11" x14ac:dyDescent="0.2">
      <c r="B232" s="277"/>
      <c r="C232" s="277" t="s">
        <v>11</v>
      </c>
      <c r="D232" s="239">
        <v>17</v>
      </c>
      <c r="E232" s="279">
        <v>21.8</v>
      </c>
      <c r="F232" s="386">
        <f t="shared" si="76"/>
        <v>122.47191011235954</v>
      </c>
      <c r="G232" s="280">
        <f t="shared" si="73"/>
        <v>-22.471910112359538</v>
      </c>
      <c r="H232" s="281">
        <f t="shared" si="74"/>
        <v>0</v>
      </c>
      <c r="I232" s="282">
        <v>4</v>
      </c>
      <c r="J232" s="282">
        <v>0</v>
      </c>
      <c r="K232" s="283">
        <f t="shared" si="75"/>
        <v>1.3333333333333333</v>
      </c>
    </row>
    <row r="233" spans="1:11" x14ac:dyDescent="0.2">
      <c r="B233" s="277"/>
      <c r="C233" s="277"/>
      <c r="D233" s="239">
        <v>19</v>
      </c>
      <c r="E233" s="279">
        <v>21.6</v>
      </c>
      <c r="F233" s="280">
        <f t="shared" si="76"/>
        <v>121.34831460674158</v>
      </c>
      <c r="G233" s="280">
        <f t="shared" si="73"/>
        <v>-21.348314606741582</v>
      </c>
      <c r="H233" s="281">
        <f t="shared" si="74"/>
        <v>0</v>
      </c>
      <c r="I233" s="282">
        <v>4</v>
      </c>
      <c r="J233" s="282">
        <v>0</v>
      </c>
      <c r="K233" s="283">
        <f t="shared" si="75"/>
        <v>1.3333333333333333</v>
      </c>
    </row>
    <row r="234" spans="1:11" x14ac:dyDescent="0.2">
      <c r="A234" s="122"/>
      <c r="B234" s="277"/>
      <c r="C234" s="277"/>
      <c r="D234" s="239">
        <v>22</v>
      </c>
      <c r="E234" s="279">
        <v>21.8</v>
      </c>
      <c r="F234" s="280">
        <f t="shared" si="76"/>
        <v>122.47191011235954</v>
      </c>
      <c r="G234" s="280">
        <f t="shared" si="73"/>
        <v>-22.471910112359538</v>
      </c>
      <c r="H234" s="281">
        <f t="shared" si="74"/>
        <v>0</v>
      </c>
      <c r="I234" s="282">
        <v>3.5</v>
      </c>
      <c r="J234" s="282">
        <v>0.5</v>
      </c>
      <c r="K234" s="283">
        <f t="shared" si="75"/>
        <v>1.3333333333333333</v>
      </c>
    </row>
    <row r="235" spans="1:11" x14ac:dyDescent="0.2">
      <c r="A235" s="122"/>
      <c r="B235" s="277"/>
      <c r="C235" s="277"/>
      <c r="D235" s="239">
        <v>24</v>
      </c>
      <c r="E235" s="279">
        <v>23.2</v>
      </c>
      <c r="F235" s="280">
        <f t="shared" si="76"/>
        <v>130.33707865168537</v>
      </c>
      <c r="G235" s="280">
        <f t="shared" si="73"/>
        <v>-30.337078651685374</v>
      </c>
      <c r="H235" s="281">
        <f t="shared" si="74"/>
        <v>0</v>
      </c>
      <c r="I235" s="282">
        <v>3</v>
      </c>
      <c r="J235" s="282">
        <v>0</v>
      </c>
      <c r="K235" s="283">
        <f t="shared" si="75"/>
        <v>1</v>
      </c>
    </row>
    <row r="236" spans="1:11" x14ac:dyDescent="0.2">
      <c r="A236" s="122"/>
      <c r="B236" s="277"/>
      <c r="C236" s="277"/>
      <c r="D236" s="254">
        <v>26</v>
      </c>
      <c r="E236" s="394">
        <v>22</v>
      </c>
      <c r="F236" s="280">
        <f t="shared" si="76"/>
        <v>123.59550561797752</v>
      </c>
      <c r="G236" s="280">
        <f t="shared" si="73"/>
        <v>-23.595505617977523</v>
      </c>
      <c r="H236" s="281">
        <f t="shared" si="74"/>
        <v>0</v>
      </c>
      <c r="I236" s="282">
        <v>3</v>
      </c>
      <c r="J236" s="282">
        <v>0.5</v>
      </c>
      <c r="K236" s="283">
        <f t="shared" si="75"/>
        <v>1.1666666666666667</v>
      </c>
    </row>
    <row r="237" spans="1:11" x14ac:dyDescent="0.2">
      <c r="A237" s="122"/>
      <c r="B237" s="277"/>
      <c r="C237" s="277"/>
      <c r="D237" s="254">
        <v>29</v>
      </c>
      <c r="E237" s="394">
        <v>23.2</v>
      </c>
      <c r="F237" s="280">
        <f t="shared" ref="F237:F239" si="77">E237/$E$225*100</f>
        <v>130.33707865168537</v>
      </c>
      <c r="G237" s="280">
        <f t="shared" ref="G237:G241" si="78">100-F237</f>
        <v>-30.337078651685374</v>
      </c>
      <c r="H237" s="281">
        <f t="shared" ref="H237:H247" si="79">IF(G237&lt;=1, 0, IF(AND(G237&gt;1, G237&lt;=5), 1, IF(AND(G237&gt;5, G237&lt;=10), 2, IF(AND(G237&gt;10, G237&lt;=15), 3, 4))))</f>
        <v>0</v>
      </c>
      <c r="I237" s="282">
        <v>2.5</v>
      </c>
      <c r="J237" s="282">
        <v>0</v>
      </c>
      <c r="K237" s="283">
        <f t="shared" ref="K237:K246" si="80">AVERAGE(H237:J237)</f>
        <v>0.83333333333333337</v>
      </c>
    </row>
    <row r="238" spans="1:11" x14ac:dyDescent="0.2">
      <c r="A238" s="122"/>
      <c r="B238" s="277"/>
      <c r="C238" s="277" t="s">
        <v>30</v>
      </c>
      <c r="D238" s="233">
        <v>31</v>
      </c>
      <c r="E238" s="279">
        <v>23.1</v>
      </c>
      <c r="F238" s="280">
        <f t="shared" si="77"/>
        <v>129.77528089887639</v>
      </c>
      <c r="G238" s="280">
        <f t="shared" si="78"/>
        <v>-29.775280898876389</v>
      </c>
      <c r="H238" s="281">
        <f t="shared" si="79"/>
        <v>0</v>
      </c>
      <c r="I238" s="282">
        <v>2.5</v>
      </c>
      <c r="J238" s="282">
        <v>0.5</v>
      </c>
      <c r="K238" s="283">
        <f t="shared" si="80"/>
        <v>1</v>
      </c>
    </row>
    <row r="239" spans="1:11" x14ac:dyDescent="0.2">
      <c r="B239" s="277"/>
      <c r="C239" s="277"/>
      <c r="D239" s="239">
        <v>33</v>
      </c>
      <c r="E239" s="279">
        <v>23.8</v>
      </c>
      <c r="F239" s="280">
        <f t="shared" si="77"/>
        <v>133.70786516853931</v>
      </c>
      <c r="G239" s="280">
        <f t="shared" si="78"/>
        <v>-33.707865168539314</v>
      </c>
      <c r="H239" s="281">
        <f t="shared" si="79"/>
        <v>0</v>
      </c>
      <c r="I239" s="282">
        <v>2.5</v>
      </c>
      <c r="J239" s="282">
        <v>0.5</v>
      </c>
      <c r="K239" s="283">
        <f t="shared" si="80"/>
        <v>1</v>
      </c>
    </row>
    <row r="240" spans="1:11" x14ac:dyDescent="0.2">
      <c r="B240" s="277"/>
      <c r="C240" s="277" t="s">
        <v>31</v>
      </c>
      <c r="D240" s="239">
        <v>36</v>
      </c>
      <c r="E240" s="278">
        <v>20.5</v>
      </c>
      <c r="F240" s="406">
        <f t="shared" ref="F240:F247" si="81">E240/$E$225*100</f>
        <v>115.1685393258427</v>
      </c>
      <c r="G240" s="406">
        <f t="shared" si="78"/>
        <v>-15.168539325842701</v>
      </c>
      <c r="H240" s="281">
        <f t="shared" si="79"/>
        <v>0</v>
      </c>
      <c r="I240" s="282"/>
      <c r="J240" s="282"/>
      <c r="K240" s="283"/>
    </row>
    <row r="241" spans="1:11" x14ac:dyDescent="0.2">
      <c r="B241" s="277"/>
      <c r="C241" s="277"/>
      <c r="D241" s="239">
        <v>38</v>
      </c>
      <c r="E241" s="278">
        <v>18.3</v>
      </c>
      <c r="F241" s="406">
        <f t="shared" si="81"/>
        <v>102.80898876404494</v>
      </c>
      <c r="G241" s="406">
        <f t="shared" si="78"/>
        <v>-2.8089887640449405</v>
      </c>
      <c r="H241" s="281">
        <f t="shared" si="79"/>
        <v>0</v>
      </c>
      <c r="I241" s="282">
        <v>4</v>
      </c>
      <c r="J241" s="282">
        <v>0</v>
      </c>
      <c r="K241" s="283">
        <f t="shared" si="80"/>
        <v>1.3333333333333333</v>
      </c>
    </row>
    <row r="242" spans="1:11" x14ac:dyDescent="0.2">
      <c r="B242" s="277"/>
      <c r="C242" s="277"/>
      <c r="D242" s="239">
        <v>40</v>
      </c>
      <c r="E242" s="279">
        <v>16.8</v>
      </c>
      <c r="F242" s="406">
        <f t="shared" si="81"/>
        <v>94.382022471910105</v>
      </c>
      <c r="G242" s="406">
        <f t="shared" ref="G242:G247" si="82">100-F242</f>
        <v>5.6179775280898951</v>
      </c>
      <c r="H242" s="281">
        <f t="shared" si="79"/>
        <v>2</v>
      </c>
      <c r="I242" s="282"/>
      <c r="J242" s="282"/>
      <c r="K242" s="283"/>
    </row>
    <row r="243" spans="1:11" x14ac:dyDescent="0.2">
      <c r="B243" s="277"/>
      <c r="C243" s="277" t="s">
        <v>30</v>
      </c>
      <c r="D243" s="239">
        <v>43</v>
      </c>
      <c r="E243" s="394">
        <v>17</v>
      </c>
      <c r="F243" s="280">
        <f t="shared" si="81"/>
        <v>95.50561797752809</v>
      </c>
      <c r="G243" s="280">
        <f t="shared" si="82"/>
        <v>4.4943820224719104</v>
      </c>
      <c r="H243" s="281">
        <f t="shared" si="79"/>
        <v>1</v>
      </c>
      <c r="I243" s="282">
        <v>3.5</v>
      </c>
      <c r="J243" s="282">
        <v>0</v>
      </c>
      <c r="K243" s="283">
        <f t="shared" si="80"/>
        <v>1.5</v>
      </c>
    </row>
    <row r="244" spans="1:11" x14ac:dyDescent="0.2">
      <c r="B244" s="277"/>
      <c r="C244" s="277"/>
      <c r="D244" s="239">
        <v>45</v>
      </c>
      <c r="E244" s="279">
        <v>19.2</v>
      </c>
      <c r="F244" s="280">
        <f t="shared" si="81"/>
        <v>107.86516853932584</v>
      </c>
      <c r="G244" s="280">
        <f t="shared" si="82"/>
        <v>-7.8651685393258362</v>
      </c>
      <c r="H244" s="281">
        <f t="shared" si="79"/>
        <v>0</v>
      </c>
      <c r="I244" s="282">
        <v>3</v>
      </c>
      <c r="J244" s="282">
        <v>2</v>
      </c>
      <c r="K244" s="283">
        <f t="shared" si="80"/>
        <v>1.6666666666666667</v>
      </c>
    </row>
    <row r="245" spans="1:11" x14ac:dyDescent="0.2">
      <c r="B245" s="277"/>
      <c r="C245" s="277"/>
      <c r="D245" s="254">
        <v>47</v>
      </c>
      <c r="E245" s="279">
        <v>18.600000000000001</v>
      </c>
      <c r="F245" s="280">
        <f t="shared" si="81"/>
        <v>104.49438202247192</v>
      </c>
      <c r="G245" s="280">
        <f t="shared" si="82"/>
        <v>-4.4943820224719246</v>
      </c>
      <c r="H245" s="281">
        <f t="shared" si="79"/>
        <v>0</v>
      </c>
      <c r="I245" s="282">
        <v>4</v>
      </c>
      <c r="J245" s="282">
        <v>1.5</v>
      </c>
      <c r="K245" s="283">
        <f t="shared" si="80"/>
        <v>1.8333333333333333</v>
      </c>
    </row>
    <row r="246" spans="1:11" x14ac:dyDescent="0.2">
      <c r="B246" s="277"/>
      <c r="C246" s="277" t="s">
        <v>31</v>
      </c>
      <c r="D246" s="278">
        <v>50</v>
      </c>
      <c r="E246" s="279">
        <v>17.399999999999999</v>
      </c>
      <c r="F246" s="280">
        <f t="shared" si="81"/>
        <v>97.752808988764031</v>
      </c>
      <c r="G246" s="280">
        <f t="shared" si="82"/>
        <v>2.2471910112359694</v>
      </c>
      <c r="H246" s="281">
        <f t="shared" si="79"/>
        <v>1</v>
      </c>
      <c r="I246" s="282">
        <v>4</v>
      </c>
      <c r="J246" s="282">
        <v>3.5</v>
      </c>
      <c r="K246" s="283">
        <f t="shared" si="80"/>
        <v>2.8333333333333335</v>
      </c>
    </row>
    <row r="247" spans="1:11" x14ac:dyDescent="0.2">
      <c r="B247" s="465"/>
      <c r="C247" s="465"/>
      <c r="D247" s="466">
        <v>52</v>
      </c>
      <c r="E247" s="467">
        <v>14.2</v>
      </c>
      <c r="F247" s="468">
        <f t="shared" si="81"/>
        <v>79.775280898876403</v>
      </c>
      <c r="G247" s="468">
        <f t="shared" si="82"/>
        <v>20.224719101123597</v>
      </c>
      <c r="H247" s="469">
        <f t="shared" si="79"/>
        <v>4</v>
      </c>
      <c r="I247" s="470" t="s">
        <v>34</v>
      </c>
      <c r="J247" s="470" t="s">
        <v>34</v>
      </c>
      <c r="K247" s="471"/>
    </row>
    <row r="248" spans="1:11" ht="17" thickBot="1" x14ac:dyDescent="0.25">
      <c r="B248" s="472" t="s">
        <v>33</v>
      </c>
      <c r="C248" s="473"/>
      <c r="D248" s="474"/>
      <c r="E248" s="475"/>
      <c r="F248" s="476"/>
      <c r="G248" s="476"/>
      <c r="H248" s="477"/>
      <c r="I248" s="478"/>
      <c r="J248" s="478"/>
      <c r="K248" s="432"/>
    </row>
    <row r="249" spans="1:11" x14ac:dyDescent="0.2">
      <c r="B249" s="196"/>
      <c r="C249" s="196"/>
      <c r="D249" s="197"/>
      <c r="E249" s="198"/>
      <c r="F249" s="199"/>
      <c r="G249" s="199"/>
      <c r="H249" s="200"/>
      <c r="I249" s="201"/>
      <c r="J249" s="201"/>
    </row>
    <row r="250" spans="1:11" x14ac:dyDescent="0.2">
      <c r="A250" s="479" t="s">
        <v>40</v>
      </c>
      <c r="B250" s="285" t="s">
        <v>0</v>
      </c>
      <c r="C250" s="285" t="s">
        <v>36</v>
      </c>
      <c r="D250" s="286">
        <v>1</v>
      </c>
      <c r="E250" s="492">
        <v>20.100000000000001</v>
      </c>
      <c r="F250" s="490">
        <v>100</v>
      </c>
      <c r="G250" s="288">
        <f t="shared" ref="G250:G277" si="83">100-F250</f>
        <v>0</v>
      </c>
      <c r="H250" s="289">
        <f t="shared" ref="H250:H263" si="84">IF(G250&lt;=1, 0, IF(AND(G250&gt;1, G250&lt;=5), 1, IF(AND(G250&gt;5, G250&lt;=10), 2, IF(AND(G250&gt;10, G250&lt;=15), 3, 4))))</f>
        <v>0</v>
      </c>
      <c r="I250" s="290">
        <v>1</v>
      </c>
      <c r="J250" s="290">
        <v>0</v>
      </c>
      <c r="K250" s="289">
        <f t="shared" ref="K250:K261" si="85">AVERAGE(H250:J250)</f>
        <v>0.33333333333333331</v>
      </c>
    </row>
    <row r="251" spans="1:11" x14ac:dyDescent="0.2">
      <c r="B251" s="291"/>
      <c r="C251" s="291"/>
      <c r="D251" s="292">
        <v>3</v>
      </c>
      <c r="E251" s="491">
        <v>17.7</v>
      </c>
      <c r="F251" s="294">
        <f t="shared" ref="F251:F256" si="86">E251/$E$250*100</f>
        <v>88.0597014925373</v>
      </c>
      <c r="G251" s="294">
        <f t="shared" si="83"/>
        <v>11.9402985074627</v>
      </c>
      <c r="H251" s="295">
        <f t="shared" si="84"/>
        <v>3</v>
      </c>
      <c r="I251" s="296">
        <v>3</v>
      </c>
      <c r="J251" s="290">
        <v>0</v>
      </c>
      <c r="K251" s="295">
        <f t="shared" si="85"/>
        <v>2</v>
      </c>
    </row>
    <row r="252" spans="1:11" x14ac:dyDescent="0.2">
      <c r="B252" s="291"/>
      <c r="C252" s="291"/>
      <c r="D252" s="292">
        <v>5</v>
      </c>
      <c r="E252" s="293">
        <v>18.7</v>
      </c>
      <c r="F252" s="294">
        <f t="shared" si="86"/>
        <v>93.034825870646756</v>
      </c>
      <c r="G252" s="294">
        <f t="shared" si="83"/>
        <v>6.9651741293532439</v>
      </c>
      <c r="H252" s="295">
        <f t="shared" si="84"/>
        <v>2</v>
      </c>
      <c r="I252" s="296">
        <v>1</v>
      </c>
      <c r="J252" s="290">
        <v>0</v>
      </c>
      <c r="K252" s="295">
        <f t="shared" si="85"/>
        <v>1</v>
      </c>
    </row>
    <row r="253" spans="1:11" x14ac:dyDescent="0.2">
      <c r="B253" s="291"/>
      <c r="C253" s="291"/>
      <c r="D253" s="292">
        <v>8</v>
      </c>
      <c r="E253" s="297">
        <v>20.5</v>
      </c>
      <c r="F253" s="294">
        <f t="shared" si="86"/>
        <v>101.99004975124377</v>
      </c>
      <c r="G253" s="294">
        <f t="shared" si="83"/>
        <v>-1.9900497512437738</v>
      </c>
      <c r="H253" s="295">
        <f t="shared" si="84"/>
        <v>0</v>
      </c>
      <c r="I253" s="296">
        <v>2</v>
      </c>
      <c r="J253" s="290">
        <v>0</v>
      </c>
      <c r="K253" s="289">
        <f t="shared" si="85"/>
        <v>0.66666666666666663</v>
      </c>
    </row>
    <row r="254" spans="1:11" x14ac:dyDescent="0.2">
      <c r="B254" s="291"/>
      <c r="C254" s="291"/>
      <c r="D254" s="292">
        <v>10</v>
      </c>
      <c r="E254" s="297">
        <v>21.5</v>
      </c>
      <c r="F254" s="294">
        <f t="shared" si="86"/>
        <v>106.96517412935323</v>
      </c>
      <c r="G254" s="294">
        <f t="shared" si="83"/>
        <v>-6.9651741293532297</v>
      </c>
      <c r="H254" s="295">
        <f t="shared" si="84"/>
        <v>0</v>
      </c>
      <c r="I254" s="296">
        <v>3</v>
      </c>
      <c r="J254" s="290">
        <v>0</v>
      </c>
      <c r="K254" s="289">
        <f t="shared" si="85"/>
        <v>1</v>
      </c>
    </row>
    <row r="255" spans="1:11" x14ac:dyDescent="0.2">
      <c r="B255" s="291"/>
      <c r="C255" s="291"/>
      <c r="D255" s="292">
        <v>12</v>
      </c>
      <c r="E255" s="297">
        <v>21.2</v>
      </c>
      <c r="F255" s="294">
        <f t="shared" si="86"/>
        <v>105.47263681592038</v>
      </c>
      <c r="G255" s="294">
        <f t="shared" si="83"/>
        <v>-5.4726368159203815</v>
      </c>
      <c r="H255" s="295">
        <f t="shared" si="84"/>
        <v>0</v>
      </c>
      <c r="I255" s="296">
        <v>2</v>
      </c>
      <c r="J255" s="290">
        <v>0</v>
      </c>
      <c r="K255" s="289">
        <f t="shared" si="85"/>
        <v>0.66666666666666663</v>
      </c>
    </row>
    <row r="256" spans="1:11" x14ac:dyDescent="0.2">
      <c r="B256" s="298"/>
      <c r="C256" s="298" t="s">
        <v>13</v>
      </c>
      <c r="D256" s="299">
        <v>15</v>
      </c>
      <c r="E256" s="297">
        <v>22.3</v>
      </c>
      <c r="F256" s="294">
        <f t="shared" si="86"/>
        <v>110.94527363184079</v>
      </c>
      <c r="G256" s="300">
        <f t="shared" si="83"/>
        <v>-10.945273631840791</v>
      </c>
      <c r="H256" s="301">
        <f t="shared" si="84"/>
        <v>0</v>
      </c>
      <c r="I256" s="302">
        <v>3</v>
      </c>
      <c r="J256" s="290">
        <v>0</v>
      </c>
      <c r="K256" s="289">
        <f t="shared" si="85"/>
        <v>1</v>
      </c>
    </row>
    <row r="257" spans="2:11" x14ac:dyDescent="0.2">
      <c r="B257" s="291"/>
      <c r="C257" s="291" t="s">
        <v>11</v>
      </c>
      <c r="D257" s="292">
        <v>17</v>
      </c>
      <c r="E257" s="303">
        <v>21.9</v>
      </c>
      <c r="F257" s="294">
        <f t="shared" ref="F257:F277" si="87">E257/$E$250*100</f>
        <v>108.955223880597</v>
      </c>
      <c r="G257" s="294">
        <f t="shared" si="83"/>
        <v>-8.9552238805970035</v>
      </c>
      <c r="H257" s="295">
        <f t="shared" si="84"/>
        <v>0</v>
      </c>
      <c r="I257" s="296">
        <v>4</v>
      </c>
      <c r="J257" s="290">
        <v>0</v>
      </c>
      <c r="K257" s="304">
        <f t="shared" si="85"/>
        <v>1.3333333333333333</v>
      </c>
    </row>
    <row r="258" spans="2:11" x14ac:dyDescent="0.2">
      <c r="B258" s="291"/>
      <c r="C258" s="291"/>
      <c r="D258" s="292">
        <v>19</v>
      </c>
      <c r="E258" s="303">
        <v>22</v>
      </c>
      <c r="F258" s="294">
        <f t="shared" si="87"/>
        <v>109.45273631840794</v>
      </c>
      <c r="G258" s="294">
        <f t="shared" si="83"/>
        <v>-9.4527363184079434</v>
      </c>
      <c r="H258" s="295">
        <f t="shared" si="84"/>
        <v>0</v>
      </c>
      <c r="I258" s="296">
        <v>4</v>
      </c>
      <c r="J258" s="290">
        <v>0</v>
      </c>
      <c r="K258" s="304">
        <f t="shared" si="85"/>
        <v>1.3333333333333333</v>
      </c>
    </row>
    <row r="259" spans="2:11" x14ac:dyDescent="0.2">
      <c r="B259" s="291"/>
      <c r="C259" s="291"/>
      <c r="D259" s="292">
        <v>22</v>
      </c>
      <c r="E259" s="303">
        <v>22.4</v>
      </c>
      <c r="F259" s="294">
        <f t="shared" si="87"/>
        <v>111.44278606965172</v>
      </c>
      <c r="G259" s="294">
        <f t="shared" si="83"/>
        <v>-11.442786069651717</v>
      </c>
      <c r="H259" s="295">
        <f t="shared" si="84"/>
        <v>0</v>
      </c>
      <c r="I259" s="296">
        <v>3.5</v>
      </c>
      <c r="J259" s="290">
        <v>1</v>
      </c>
      <c r="K259" s="305">
        <f t="shared" si="85"/>
        <v>1.5</v>
      </c>
    </row>
    <row r="260" spans="2:11" x14ac:dyDescent="0.2">
      <c r="B260" s="291"/>
      <c r="C260" s="291"/>
      <c r="D260" s="292">
        <v>24</v>
      </c>
      <c r="E260" s="303">
        <v>21.2</v>
      </c>
      <c r="F260" s="294">
        <f t="shared" si="87"/>
        <v>105.47263681592038</v>
      </c>
      <c r="G260" s="294">
        <f t="shared" si="83"/>
        <v>-5.4726368159203815</v>
      </c>
      <c r="H260" s="295">
        <f t="shared" si="84"/>
        <v>0</v>
      </c>
      <c r="I260" s="296">
        <v>3</v>
      </c>
      <c r="J260" s="290">
        <v>1</v>
      </c>
      <c r="K260" s="305">
        <f t="shared" si="85"/>
        <v>1.3333333333333333</v>
      </c>
    </row>
    <row r="261" spans="2:11" x14ac:dyDescent="0.2">
      <c r="B261" s="306"/>
      <c r="C261" s="306"/>
      <c r="D261" s="307">
        <v>26</v>
      </c>
      <c r="E261" s="308">
        <v>22.5</v>
      </c>
      <c r="F261" s="294">
        <f t="shared" si="87"/>
        <v>111.94029850746267</v>
      </c>
      <c r="G261" s="309">
        <f t="shared" si="83"/>
        <v>-11.940298507462671</v>
      </c>
      <c r="H261" s="310">
        <f t="shared" si="84"/>
        <v>0</v>
      </c>
      <c r="I261" s="311">
        <v>2</v>
      </c>
      <c r="J261" s="290">
        <v>0</v>
      </c>
      <c r="K261" s="305">
        <f t="shared" si="85"/>
        <v>0.66666666666666663</v>
      </c>
    </row>
    <row r="262" spans="2:11" x14ac:dyDescent="0.2">
      <c r="B262" s="306"/>
      <c r="C262" s="306"/>
      <c r="D262" s="307">
        <v>29</v>
      </c>
      <c r="E262" s="308">
        <v>22.5</v>
      </c>
      <c r="F262" s="294">
        <f t="shared" si="87"/>
        <v>111.94029850746267</v>
      </c>
      <c r="G262" s="309">
        <f t="shared" ref="G262" si="88">100-F262</f>
        <v>-11.940298507462671</v>
      </c>
      <c r="H262" s="310">
        <f t="shared" ref="H262" si="89">IF(G262&lt;=1, 0, IF(AND(G262&gt;1, G262&lt;=5), 1, IF(AND(G262&gt;5, G262&lt;=10), 2, IF(AND(G262&gt;10, G262&lt;=15), 3, 4))))</f>
        <v>0</v>
      </c>
      <c r="I262" s="311">
        <v>2</v>
      </c>
      <c r="J262" s="290">
        <v>0</v>
      </c>
      <c r="K262" s="305">
        <f t="shared" ref="K262:K277" si="90">AVERAGE(H262:J262)</f>
        <v>0.66666666666666663</v>
      </c>
    </row>
    <row r="263" spans="2:11" x14ac:dyDescent="0.2">
      <c r="B263" s="285"/>
      <c r="C263" s="285" t="s">
        <v>30</v>
      </c>
      <c r="D263" s="286">
        <v>31</v>
      </c>
      <c r="E263" s="312">
        <v>22.3</v>
      </c>
      <c r="F263" s="294">
        <f t="shared" si="87"/>
        <v>110.94527363184079</v>
      </c>
      <c r="G263" s="288">
        <f t="shared" si="83"/>
        <v>-10.945273631840791</v>
      </c>
      <c r="H263" s="289">
        <f t="shared" si="84"/>
        <v>0</v>
      </c>
      <c r="I263" s="290">
        <v>2</v>
      </c>
      <c r="J263" s="290">
        <v>0</v>
      </c>
      <c r="K263" s="305">
        <f t="shared" si="90"/>
        <v>0.66666666666666663</v>
      </c>
    </row>
    <row r="264" spans="2:11" x14ac:dyDescent="0.2">
      <c r="B264" s="291"/>
      <c r="C264" s="291"/>
      <c r="D264" s="292">
        <v>33</v>
      </c>
      <c r="E264" s="401">
        <v>22</v>
      </c>
      <c r="F264" s="294">
        <f t="shared" si="87"/>
        <v>109.45273631840794</v>
      </c>
      <c r="G264" s="294">
        <f t="shared" si="83"/>
        <v>-9.4527363184079434</v>
      </c>
      <c r="H264" s="295">
        <f>IF(G264&lt;=1, 0, IF(AND(G264&gt;1, G264&lt;=5), 1, IF(AND(G264&gt;5, G264&lt;=10), 2, IF(AND(G264&gt;10, G264&lt;=15), 3, 4))))</f>
        <v>0</v>
      </c>
      <c r="I264" s="290">
        <v>2</v>
      </c>
      <c r="J264" s="290">
        <v>0.5</v>
      </c>
      <c r="K264" s="305">
        <f t="shared" si="90"/>
        <v>0.83333333333333337</v>
      </c>
    </row>
    <row r="265" spans="2:11" x14ac:dyDescent="0.2">
      <c r="B265" s="291"/>
      <c r="C265" s="291" t="s">
        <v>31</v>
      </c>
      <c r="D265" s="292">
        <v>36</v>
      </c>
      <c r="E265" s="303">
        <v>22.9</v>
      </c>
      <c r="F265" s="294">
        <f t="shared" si="87"/>
        <v>113.93034825870645</v>
      </c>
      <c r="G265" s="294">
        <f t="shared" si="83"/>
        <v>-13.930348258706445</v>
      </c>
      <c r="H265" s="295">
        <f t="shared" ref="H265:H277" si="91">IF(G265&lt;=1, 0, IF(AND(G265&gt;1, G265&lt;=5), 1, IF(AND(G265&gt;5, G265&lt;=10), 2, IF(AND(G265&gt;10, G265&lt;=15), 3, 4))))</f>
        <v>0</v>
      </c>
      <c r="I265" s="290">
        <v>3</v>
      </c>
      <c r="J265" s="290">
        <v>1</v>
      </c>
      <c r="K265" s="315">
        <f t="shared" si="90"/>
        <v>1.3333333333333333</v>
      </c>
    </row>
    <row r="266" spans="2:11" x14ac:dyDescent="0.2">
      <c r="B266" s="291"/>
      <c r="C266" s="291"/>
      <c r="D266" s="292">
        <v>38</v>
      </c>
      <c r="E266" s="303">
        <v>23.1</v>
      </c>
      <c r="F266" s="294">
        <f t="shared" si="87"/>
        <v>114.92537313432835</v>
      </c>
      <c r="G266" s="294">
        <f t="shared" si="83"/>
        <v>-14.925373134328353</v>
      </c>
      <c r="H266" s="295">
        <f t="shared" si="91"/>
        <v>0</v>
      </c>
      <c r="I266" s="290">
        <v>1.5</v>
      </c>
      <c r="J266" s="290">
        <v>0</v>
      </c>
      <c r="K266" s="305">
        <f t="shared" si="90"/>
        <v>0.5</v>
      </c>
    </row>
    <row r="267" spans="2:11" x14ac:dyDescent="0.2">
      <c r="B267" s="291"/>
      <c r="C267" s="291"/>
      <c r="D267" s="292">
        <v>40</v>
      </c>
      <c r="E267" s="303">
        <v>23.8</v>
      </c>
      <c r="F267" s="294">
        <f t="shared" si="87"/>
        <v>118.40796019900498</v>
      </c>
      <c r="G267" s="294">
        <f t="shared" si="83"/>
        <v>-18.407960199004975</v>
      </c>
      <c r="H267" s="295">
        <f t="shared" si="91"/>
        <v>0</v>
      </c>
      <c r="I267" s="290">
        <v>3</v>
      </c>
      <c r="J267" s="290">
        <v>0</v>
      </c>
      <c r="K267" s="305">
        <f t="shared" si="90"/>
        <v>1</v>
      </c>
    </row>
    <row r="268" spans="2:11" x14ac:dyDescent="0.2">
      <c r="B268" s="291"/>
      <c r="C268" s="291" t="s">
        <v>30</v>
      </c>
      <c r="D268" s="292">
        <v>43</v>
      </c>
      <c r="E268" s="303">
        <v>23.8</v>
      </c>
      <c r="F268" s="294">
        <f t="shared" si="87"/>
        <v>118.40796019900498</v>
      </c>
      <c r="G268" s="294">
        <f t="shared" si="83"/>
        <v>-18.407960199004975</v>
      </c>
      <c r="H268" s="295">
        <f t="shared" si="91"/>
        <v>0</v>
      </c>
      <c r="I268" s="290">
        <v>2</v>
      </c>
      <c r="J268" s="290">
        <v>0.5</v>
      </c>
      <c r="K268" s="305">
        <f t="shared" si="90"/>
        <v>0.83333333333333337</v>
      </c>
    </row>
    <row r="269" spans="2:11" x14ac:dyDescent="0.2">
      <c r="B269" s="291"/>
      <c r="C269" s="291"/>
      <c r="D269" s="292">
        <v>45</v>
      </c>
      <c r="E269" s="303">
        <v>24.2</v>
      </c>
      <c r="F269" s="294">
        <f t="shared" si="87"/>
        <v>120.39800995024873</v>
      </c>
      <c r="G269" s="294">
        <f t="shared" si="83"/>
        <v>-20.398009950248735</v>
      </c>
      <c r="H269" s="295">
        <f t="shared" si="91"/>
        <v>0</v>
      </c>
      <c r="I269" s="290">
        <v>3</v>
      </c>
      <c r="J269" s="290">
        <v>0</v>
      </c>
      <c r="K269" s="305">
        <f t="shared" si="90"/>
        <v>1</v>
      </c>
    </row>
    <row r="270" spans="2:11" x14ac:dyDescent="0.2">
      <c r="B270" s="306"/>
      <c r="C270" s="306"/>
      <c r="D270" s="307">
        <v>47</v>
      </c>
      <c r="E270" s="308">
        <v>24.1</v>
      </c>
      <c r="F270" s="309">
        <f t="shared" si="87"/>
        <v>119.90049751243781</v>
      </c>
      <c r="G270" s="309">
        <f t="shared" si="83"/>
        <v>-19.900497512437809</v>
      </c>
      <c r="H270" s="310">
        <f t="shared" si="91"/>
        <v>0</v>
      </c>
      <c r="I270" s="316">
        <v>3</v>
      </c>
      <c r="J270" s="290">
        <v>2</v>
      </c>
      <c r="K270" s="305">
        <f t="shared" si="90"/>
        <v>1.6666666666666667</v>
      </c>
    </row>
    <row r="271" spans="2:11" x14ac:dyDescent="0.2">
      <c r="B271" s="306"/>
      <c r="C271" s="306" t="s">
        <v>31</v>
      </c>
      <c r="D271" s="307">
        <v>50</v>
      </c>
      <c r="E271" s="308">
        <v>23.6</v>
      </c>
      <c r="F271" s="309">
        <f t="shared" si="87"/>
        <v>117.41293532338308</v>
      </c>
      <c r="G271" s="309">
        <f t="shared" si="83"/>
        <v>-17.412935323383081</v>
      </c>
      <c r="H271" s="310">
        <f t="shared" si="91"/>
        <v>0</v>
      </c>
      <c r="I271" s="317">
        <v>3</v>
      </c>
      <c r="J271" s="290">
        <v>1</v>
      </c>
      <c r="K271" s="305">
        <f t="shared" si="90"/>
        <v>1.3333333333333333</v>
      </c>
    </row>
    <row r="272" spans="2:11" x14ac:dyDescent="0.2">
      <c r="B272" s="306"/>
      <c r="C272" s="306"/>
      <c r="D272" s="307">
        <v>52</v>
      </c>
      <c r="E272" s="308">
        <v>23.6</v>
      </c>
      <c r="F272" s="309">
        <f t="shared" si="87"/>
        <v>117.41293532338308</v>
      </c>
      <c r="G272" s="309">
        <f t="shared" si="83"/>
        <v>-17.412935323383081</v>
      </c>
      <c r="H272" s="310">
        <f t="shared" si="91"/>
        <v>0</v>
      </c>
      <c r="I272" s="317">
        <v>4</v>
      </c>
      <c r="J272" s="290">
        <v>1</v>
      </c>
      <c r="K272" s="305">
        <f t="shared" si="90"/>
        <v>1.6666666666666667</v>
      </c>
    </row>
    <row r="273" spans="1:11" x14ac:dyDescent="0.2">
      <c r="B273" s="306"/>
      <c r="C273" s="306"/>
      <c r="D273" s="307">
        <v>54</v>
      </c>
      <c r="E273" s="308">
        <v>23.9</v>
      </c>
      <c r="F273" s="309">
        <f t="shared" si="87"/>
        <v>118.9054726368159</v>
      </c>
      <c r="G273" s="309">
        <f t="shared" si="83"/>
        <v>-18.905472636815901</v>
      </c>
      <c r="H273" s="310">
        <f t="shared" si="91"/>
        <v>0</v>
      </c>
      <c r="I273" s="317">
        <v>1.5</v>
      </c>
      <c r="J273" s="290">
        <v>0.5</v>
      </c>
      <c r="K273" s="305">
        <f t="shared" si="90"/>
        <v>0.66666666666666663</v>
      </c>
    </row>
    <row r="274" spans="1:11" x14ac:dyDescent="0.2">
      <c r="B274" s="306"/>
      <c r="C274" s="306" t="s">
        <v>30</v>
      </c>
      <c r="D274" s="307">
        <v>57</v>
      </c>
      <c r="E274" s="308">
        <v>24.8</v>
      </c>
      <c r="F274" s="309">
        <f t="shared" si="87"/>
        <v>123.38308457711442</v>
      </c>
      <c r="G274" s="309">
        <f t="shared" si="83"/>
        <v>-23.383084577114417</v>
      </c>
      <c r="H274" s="310">
        <f t="shared" si="91"/>
        <v>0</v>
      </c>
      <c r="I274" s="317">
        <v>2.5</v>
      </c>
      <c r="J274" s="290">
        <v>0</v>
      </c>
      <c r="K274" s="305">
        <f t="shared" si="90"/>
        <v>0.83333333333333337</v>
      </c>
    </row>
    <row r="275" spans="1:11" x14ac:dyDescent="0.2">
      <c r="B275" s="306"/>
      <c r="C275" s="306"/>
      <c r="D275" s="307">
        <v>59</v>
      </c>
      <c r="E275" s="452">
        <v>24</v>
      </c>
      <c r="F275" s="309">
        <f t="shared" si="87"/>
        <v>119.40298507462686</v>
      </c>
      <c r="G275" s="309">
        <f t="shared" si="83"/>
        <v>-19.402985074626855</v>
      </c>
      <c r="H275" s="310">
        <f t="shared" si="91"/>
        <v>0</v>
      </c>
      <c r="I275" s="317">
        <v>3</v>
      </c>
      <c r="J275" s="290">
        <v>0.5</v>
      </c>
      <c r="K275" s="305">
        <f t="shared" si="90"/>
        <v>1.1666666666666667</v>
      </c>
    </row>
    <row r="276" spans="1:11" x14ac:dyDescent="0.2">
      <c r="B276" s="306"/>
      <c r="C276" s="306"/>
      <c r="D276" s="307">
        <v>61</v>
      </c>
      <c r="E276" s="308">
        <v>23.3</v>
      </c>
      <c r="F276" s="309">
        <f t="shared" si="87"/>
        <v>115.92039800995025</v>
      </c>
      <c r="G276" s="309">
        <f t="shared" si="83"/>
        <v>-15.920398009950247</v>
      </c>
      <c r="H276" s="310">
        <f t="shared" si="91"/>
        <v>0</v>
      </c>
      <c r="I276" s="317">
        <v>3.5</v>
      </c>
      <c r="J276" s="290">
        <v>1</v>
      </c>
      <c r="K276" s="305">
        <f t="shared" si="90"/>
        <v>1.5</v>
      </c>
    </row>
    <row r="277" spans="1:11" ht="17" thickBot="1" x14ac:dyDescent="0.25">
      <c r="B277" s="319"/>
      <c r="C277" s="319"/>
      <c r="D277" s="320">
        <v>64</v>
      </c>
      <c r="E277" s="321">
        <v>22.9</v>
      </c>
      <c r="F277" s="322">
        <f t="shared" si="87"/>
        <v>113.93034825870645</v>
      </c>
      <c r="G277" s="322">
        <f t="shared" si="83"/>
        <v>-13.930348258706445</v>
      </c>
      <c r="H277" s="323">
        <f t="shared" si="91"/>
        <v>0</v>
      </c>
      <c r="I277" s="435">
        <v>3.5</v>
      </c>
      <c r="J277" s="436">
        <v>0.5</v>
      </c>
      <c r="K277" s="324">
        <f t="shared" si="90"/>
        <v>1.3333333333333333</v>
      </c>
    </row>
    <row r="278" spans="1:11" x14ac:dyDescent="0.2">
      <c r="A278" s="479" t="s">
        <v>40</v>
      </c>
      <c r="B278" s="285" t="s">
        <v>1</v>
      </c>
      <c r="C278" s="285" t="s">
        <v>36</v>
      </c>
      <c r="D278" s="286">
        <v>1</v>
      </c>
      <c r="E278" s="287">
        <v>18.2</v>
      </c>
      <c r="F278" s="288">
        <v>100</v>
      </c>
      <c r="G278" s="288">
        <f t="shared" ref="G278:G289" si="92">100-F278</f>
        <v>0</v>
      </c>
      <c r="H278" s="289">
        <f t="shared" ref="H278:H289" si="93">IF(G278&lt;=1, 0, IF(AND(G278&gt;1, G278&lt;=5), 1, IF(AND(G278&gt;5, G278&lt;=10), 2, IF(AND(G278&gt;10, G278&lt;=15), 3, 4))))</f>
        <v>0</v>
      </c>
      <c r="I278" s="290">
        <v>1</v>
      </c>
      <c r="J278" s="290">
        <v>0</v>
      </c>
      <c r="K278" s="289">
        <f t="shared" ref="K278:K283" si="94">AVERAGE(H278:J278)</f>
        <v>0.33333333333333331</v>
      </c>
    </row>
    <row r="279" spans="1:11" x14ac:dyDescent="0.2">
      <c r="B279" s="291"/>
      <c r="C279" s="291"/>
      <c r="D279" s="292">
        <v>3</v>
      </c>
      <c r="E279" s="293">
        <v>16.3</v>
      </c>
      <c r="F279" s="294">
        <f t="shared" ref="F279:F289" si="95">E279/$E$278*100</f>
        <v>89.560439560439562</v>
      </c>
      <c r="G279" s="294">
        <f t="shared" si="92"/>
        <v>10.439560439560438</v>
      </c>
      <c r="H279" s="295">
        <f t="shared" si="93"/>
        <v>3</v>
      </c>
      <c r="I279" s="296">
        <v>2.5</v>
      </c>
      <c r="J279" s="290">
        <v>0</v>
      </c>
      <c r="K279" s="295">
        <f t="shared" si="94"/>
        <v>1.8333333333333333</v>
      </c>
    </row>
    <row r="280" spans="1:11" x14ac:dyDescent="0.2">
      <c r="B280" s="291"/>
      <c r="C280" s="291"/>
      <c r="D280" s="292">
        <v>5</v>
      </c>
      <c r="E280" s="293">
        <v>16.399999999999999</v>
      </c>
      <c r="F280" s="294">
        <f t="shared" si="95"/>
        <v>90.109890109890102</v>
      </c>
      <c r="G280" s="294">
        <f t="shared" si="92"/>
        <v>9.8901098901098976</v>
      </c>
      <c r="H280" s="295">
        <f t="shared" si="93"/>
        <v>2</v>
      </c>
      <c r="I280" s="296">
        <v>1.5</v>
      </c>
      <c r="J280" s="290">
        <v>0.5</v>
      </c>
      <c r="K280" s="295">
        <f t="shared" si="94"/>
        <v>1.3333333333333333</v>
      </c>
    </row>
    <row r="281" spans="1:11" x14ac:dyDescent="0.2">
      <c r="B281" s="291"/>
      <c r="C281" s="291"/>
      <c r="D281" s="292">
        <v>8</v>
      </c>
      <c r="E281" s="297">
        <v>18.3</v>
      </c>
      <c r="F281" s="294">
        <f t="shared" si="95"/>
        <v>100.54945054945054</v>
      </c>
      <c r="G281" s="294">
        <f t="shared" si="92"/>
        <v>-0.54945054945054039</v>
      </c>
      <c r="H281" s="295">
        <f t="shared" si="93"/>
        <v>0</v>
      </c>
      <c r="I281" s="296">
        <v>1.5</v>
      </c>
      <c r="J281" s="290">
        <v>0</v>
      </c>
      <c r="K281" s="289">
        <f t="shared" si="94"/>
        <v>0.5</v>
      </c>
    </row>
    <row r="282" spans="1:11" x14ac:dyDescent="0.2">
      <c r="B282" s="291"/>
      <c r="C282" s="291"/>
      <c r="D282" s="292">
        <v>10</v>
      </c>
      <c r="E282" s="297">
        <v>18.899999999999999</v>
      </c>
      <c r="F282" s="294">
        <f t="shared" si="95"/>
        <v>103.84615384615384</v>
      </c>
      <c r="G282" s="294">
        <f t="shared" si="92"/>
        <v>-3.8461538461538396</v>
      </c>
      <c r="H282" s="295">
        <f t="shared" si="93"/>
        <v>0</v>
      </c>
      <c r="I282" s="296">
        <v>2.5</v>
      </c>
      <c r="J282" s="290">
        <v>0</v>
      </c>
      <c r="K282" s="289">
        <f t="shared" si="94"/>
        <v>0.83333333333333337</v>
      </c>
    </row>
    <row r="283" spans="1:11" x14ac:dyDescent="0.2">
      <c r="B283" s="291"/>
      <c r="C283" s="291"/>
      <c r="D283" s="292">
        <v>12</v>
      </c>
      <c r="E283" s="297">
        <v>19.7</v>
      </c>
      <c r="F283" s="294">
        <f t="shared" si="95"/>
        <v>108.24175824175823</v>
      </c>
      <c r="G283" s="294">
        <f t="shared" si="92"/>
        <v>-8.2417582417582338</v>
      </c>
      <c r="H283" s="295">
        <f t="shared" si="93"/>
        <v>0</v>
      </c>
      <c r="I283" s="296">
        <v>3.5</v>
      </c>
      <c r="J283" s="290">
        <v>0</v>
      </c>
      <c r="K283" s="289">
        <f t="shared" si="94"/>
        <v>1.1666666666666667</v>
      </c>
    </row>
    <row r="284" spans="1:11" x14ac:dyDescent="0.2">
      <c r="B284" s="298"/>
      <c r="C284" s="298" t="s">
        <v>13</v>
      </c>
      <c r="D284" s="299">
        <v>15</v>
      </c>
      <c r="E284" s="297">
        <v>20.5</v>
      </c>
      <c r="F284" s="294">
        <f t="shared" si="95"/>
        <v>112.63736263736264</v>
      </c>
      <c r="G284" s="300">
        <f t="shared" si="92"/>
        <v>-12.637362637362642</v>
      </c>
      <c r="H284" s="301">
        <f t="shared" si="93"/>
        <v>0</v>
      </c>
      <c r="I284" s="302">
        <v>4</v>
      </c>
      <c r="J284" s="290">
        <v>0</v>
      </c>
      <c r="K284" s="289">
        <f t="shared" ref="K284:K305" si="96">AVERAGE(H284:J284)</f>
        <v>1.3333333333333333</v>
      </c>
    </row>
    <row r="285" spans="1:11" x14ac:dyDescent="0.2">
      <c r="B285" s="291"/>
      <c r="C285" s="291" t="s">
        <v>11</v>
      </c>
      <c r="D285" s="292">
        <v>17</v>
      </c>
      <c r="E285" s="303">
        <v>20.8</v>
      </c>
      <c r="F285" s="294">
        <f t="shared" si="95"/>
        <v>114.28571428571431</v>
      </c>
      <c r="G285" s="294">
        <f t="shared" si="92"/>
        <v>-14.285714285714306</v>
      </c>
      <c r="H285" s="295">
        <f t="shared" si="93"/>
        <v>0</v>
      </c>
      <c r="I285" s="296">
        <v>4</v>
      </c>
      <c r="J285" s="290">
        <v>0.5</v>
      </c>
      <c r="K285" s="304">
        <f t="shared" si="96"/>
        <v>1.5</v>
      </c>
    </row>
    <row r="286" spans="1:11" x14ac:dyDescent="0.2">
      <c r="B286" s="291"/>
      <c r="C286" s="291"/>
      <c r="D286" s="292">
        <v>19</v>
      </c>
      <c r="E286" s="303">
        <v>20.399999999999999</v>
      </c>
      <c r="F286" s="294">
        <f t="shared" si="95"/>
        <v>112.08791208791209</v>
      </c>
      <c r="G286" s="294">
        <f t="shared" si="92"/>
        <v>-12.087912087912088</v>
      </c>
      <c r="H286" s="295">
        <f t="shared" si="93"/>
        <v>0</v>
      </c>
      <c r="I286" s="296">
        <v>3.5</v>
      </c>
      <c r="J286" s="290">
        <v>0</v>
      </c>
      <c r="K286" s="304">
        <f t="shared" si="96"/>
        <v>1.1666666666666667</v>
      </c>
    </row>
    <row r="287" spans="1:11" x14ac:dyDescent="0.2">
      <c r="B287" s="291"/>
      <c r="C287" s="291"/>
      <c r="D287" s="292">
        <v>22</v>
      </c>
      <c r="E287" s="303">
        <v>21.2</v>
      </c>
      <c r="F287" s="294">
        <f t="shared" si="95"/>
        <v>116.4835164835165</v>
      </c>
      <c r="G287" s="294">
        <f t="shared" si="92"/>
        <v>-16.483516483516496</v>
      </c>
      <c r="H287" s="295">
        <f t="shared" si="93"/>
        <v>0</v>
      </c>
      <c r="I287" s="296">
        <v>3.5</v>
      </c>
      <c r="J287" s="290">
        <v>0.5</v>
      </c>
      <c r="K287" s="305">
        <f t="shared" si="96"/>
        <v>1.3333333333333333</v>
      </c>
    </row>
    <row r="288" spans="1:11" x14ac:dyDescent="0.2">
      <c r="B288" s="291"/>
      <c r="C288" s="291"/>
      <c r="D288" s="292">
        <v>24</v>
      </c>
      <c r="E288" s="303">
        <v>21.1</v>
      </c>
      <c r="F288" s="294">
        <f t="shared" si="95"/>
        <v>115.93406593406594</v>
      </c>
      <c r="G288" s="294">
        <f t="shared" si="92"/>
        <v>-15.934065934065941</v>
      </c>
      <c r="H288" s="295">
        <f t="shared" si="93"/>
        <v>0</v>
      </c>
      <c r="I288" s="296">
        <v>2.5</v>
      </c>
      <c r="J288" s="290">
        <v>0.5</v>
      </c>
      <c r="K288" s="305">
        <f t="shared" si="96"/>
        <v>1</v>
      </c>
    </row>
    <row r="289" spans="2:11" x14ac:dyDescent="0.2">
      <c r="B289" s="306"/>
      <c r="C289" s="306"/>
      <c r="D289" s="307">
        <v>26</v>
      </c>
      <c r="E289" s="308">
        <v>21.7</v>
      </c>
      <c r="F289" s="309">
        <f t="shared" si="95"/>
        <v>119.23076923076923</v>
      </c>
      <c r="G289" s="309">
        <f t="shared" si="92"/>
        <v>-19.230769230769226</v>
      </c>
      <c r="H289" s="310">
        <f t="shared" si="93"/>
        <v>0</v>
      </c>
      <c r="I289" s="311">
        <v>1.5</v>
      </c>
      <c r="J289" s="290">
        <v>0</v>
      </c>
      <c r="K289" s="305">
        <f t="shared" si="96"/>
        <v>0.5</v>
      </c>
    </row>
    <row r="290" spans="2:11" x14ac:dyDescent="0.2">
      <c r="B290" s="306"/>
      <c r="C290" s="306"/>
      <c r="D290" s="307">
        <v>29</v>
      </c>
      <c r="E290" s="308">
        <v>21.8</v>
      </c>
      <c r="F290" s="309">
        <f t="shared" ref="F290:F296" si="97">E290/$E$278*100</f>
        <v>119.7802197802198</v>
      </c>
      <c r="G290" s="309">
        <f t="shared" ref="G290:G305" si="98">100-F290</f>
        <v>-19.780219780219795</v>
      </c>
      <c r="H290" s="310">
        <f t="shared" ref="H290:H297" si="99">IF(G290&lt;=1, 0, IF(AND(G290&gt;1, G290&lt;=5), 1, IF(AND(G290&gt;5, G290&lt;=10), 2, IF(AND(G290&gt;10, G290&lt;=15), 3, 4))))</f>
        <v>0</v>
      </c>
      <c r="I290" s="311">
        <v>2</v>
      </c>
      <c r="J290" s="290">
        <v>0</v>
      </c>
      <c r="K290" s="305">
        <f t="shared" si="96"/>
        <v>0.66666666666666663</v>
      </c>
    </row>
    <row r="291" spans="2:11" x14ac:dyDescent="0.2">
      <c r="B291" s="285"/>
      <c r="C291" s="285" t="s">
        <v>30</v>
      </c>
      <c r="D291" s="286">
        <v>31</v>
      </c>
      <c r="E291" s="312">
        <v>21.7</v>
      </c>
      <c r="F291" s="288">
        <f t="shared" si="97"/>
        <v>119.23076923076923</v>
      </c>
      <c r="G291" s="288">
        <f>100-F291</f>
        <v>-19.230769230769226</v>
      </c>
      <c r="H291" s="289">
        <f t="shared" si="99"/>
        <v>0</v>
      </c>
      <c r="I291" s="290">
        <v>1.5</v>
      </c>
      <c r="J291" s="290">
        <v>0</v>
      </c>
      <c r="K291" s="305">
        <f t="shared" si="96"/>
        <v>0.5</v>
      </c>
    </row>
    <row r="292" spans="2:11" x14ac:dyDescent="0.2">
      <c r="B292" s="291"/>
      <c r="C292" s="291"/>
      <c r="D292" s="292">
        <v>33</v>
      </c>
      <c r="E292" s="312">
        <v>21.9</v>
      </c>
      <c r="F292" s="294">
        <f t="shared" si="97"/>
        <v>120.32967032967032</v>
      </c>
      <c r="G292" s="294">
        <f t="shared" si="98"/>
        <v>-20.329670329670321</v>
      </c>
      <c r="H292" s="295">
        <f t="shared" si="99"/>
        <v>0</v>
      </c>
      <c r="I292" s="290">
        <v>1.5</v>
      </c>
      <c r="J292" s="290">
        <v>0.5</v>
      </c>
      <c r="K292" s="305">
        <f t="shared" si="96"/>
        <v>0.66666666666666663</v>
      </c>
    </row>
    <row r="293" spans="2:11" x14ac:dyDescent="0.2">
      <c r="B293" s="291"/>
      <c r="C293" s="291" t="s">
        <v>31</v>
      </c>
      <c r="D293" s="292">
        <v>36</v>
      </c>
      <c r="E293" s="292">
        <v>17.8</v>
      </c>
      <c r="F293" s="313">
        <f t="shared" si="97"/>
        <v>97.80219780219781</v>
      </c>
      <c r="G293" s="313">
        <f t="shared" si="98"/>
        <v>2.19780219780219</v>
      </c>
      <c r="H293" s="291">
        <f t="shared" si="99"/>
        <v>1</v>
      </c>
      <c r="I293" s="314">
        <v>1.5</v>
      </c>
      <c r="J293" s="290">
        <v>1.5</v>
      </c>
      <c r="K293" s="315">
        <f t="shared" si="96"/>
        <v>1.3333333333333333</v>
      </c>
    </row>
    <row r="294" spans="2:11" x14ac:dyDescent="0.2">
      <c r="B294" s="291"/>
      <c r="C294" s="291"/>
      <c r="D294" s="292">
        <v>38</v>
      </c>
      <c r="E294" s="303">
        <v>19.100000000000001</v>
      </c>
      <c r="F294" s="294">
        <f t="shared" si="97"/>
        <v>104.94505494505495</v>
      </c>
      <c r="G294" s="294">
        <f t="shared" si="98"/>
        <v>-4.9450549450549488</v>
      </c>
      <c r="H294" s="295">
        <f t="shared" si="99"/>
        <v>0</v>
      </c>
      <c r="I294" s="290">
        <v>3.5</v>
      </c>
      <c r="J294" s="290">
        <v>0.5</v>
      </c>
      <c r="K294" s="305">
        <f t="shared" si="96"/>
        <v>1.3333333333333333</v>
      </c>
    </row>
    <row r="295" spans="2:11" x14ac:dyDescent="0.2">
      <c r="B295" s="291"/>
      <c r="C295" s="291"/>
      <c r="D295" s="292">
        <v>40</v>
      </c>
      <c r="E295" s="303">
        <v>17.5</v>
      </c>
      <c r="F295" s="294">
        <f t="shared" si="97"/>
        <v>96.15384615384616</v>
      </c>
      <c r="G295" s="294">
        <f t="shared" si="98"/>
        <v>3.8461538461538396</v>
      </c>
      <c r="H295" s="295">
        <f t="shared" si="99"/>
        <v>1</v>
      </c>
      <c r="I295" s="290"/>
      <c r="J295" s="290"/>
      <c r="K295" s="305"/>
    </row>
    <row r="296" spans="2:11" x14ac:dyDescent="0.2">
      <c r="B296" s="291"/>
      <c r="C296" s="291" t="s">
        <v>30</v>
      </c>
      <c r="D296" s="292">
        <v>43</v>
      </c>
      <c r="E296" s="303">
        <v>16.8</v>
      </c>
      <c r="F296" s="294">
        <f t="shared" si="97"/>
        <v>92.307692307692307</v>
      </c>
      <c r="G296" s="294">
        <f t="shared" si="98"/>
        <v>7.6923076923076934</v>
      </c>
      <c r="H296" s="295">
        <f t="shared" si="99"/>
        <v>2</v>
      </c>
      <c r="I296" s="290">
        <v>2.5</v>
      </c>
      <c r="J296" s="290">
        <v>0</v>
      </c>
      <c r="K296" s="305">
        <f t="shared" si="96"/>
        <v>1.5</v>
      </c>
    </row>
    <row r="297" spans="2:11" x14ac:dyDescent="0.2">
      <c r="B297" s="291"/>
      <c r="C297" s="291"/>
      <c r="D297" s="292">
        <v>45</v>
      </c>
      <c r="E297" s="303">
        <v>18.8</v>
      </c>
      <c r="F297" s="294">
        <f t="shared" ref="F297:F305" si="100">E297/$E$278*100</f>
        <v>103.29670329670331</v>
      </c>
      <c r="G297" s="294">
        <f t="shared" si="98"/>
        <v>-3.2967032967033134</v>
      </c>
      <c r="H297" s="295">
        <f t="shared" si="99"/>
        <v>0</v>
      </c>
      <c r="I297" s="290">
        <v>3</v>
      </c>
      <c r="J297" s="290">
        <v>1.5</v>
      </c>
      <c r="K297" s="305">
        <f t="shared" si="96"/>
        <v>1.5</v>
      </c>
    </row>
    <row r="298" spans="2:11" x14ac:dyDescent="0.2">
      <c r="B298" s="306"/>
      <c r="C298" s="306"/>
      <c r="D298" s="307">
        <v>47</v>
      </c>
      <c r="E298" s="308">
        <v>19.399999999999999</v>
      </c>
      <c r="F298" s="309">
        <f t="shared" si="100"/>
        <v>106.5934065934066</v>
      </c>
      <c r="G298" s="309">
        <f t="shared" si="98"/>
        <v>-6.5934065934065984</v>
      </c>
      <c r="H298" s="310">
        <f t="shared" ref="H298:H305" si="101">IF(G298&lt;=1, 0, IF(AND(G298&gt;1, G298&lt;=5), 1, IF(AND(G298&gt;5, G298&lt;=10), 2, IF(AND(G298&gt;10, G298&lt;=15), 3, 4))))</f>
        <v>0</v>
      </c>
      <c r="I298" s="316">
        <v>3</v>
      </c>
      <c r="J298" s="290">
        <v>0.5</v>
      </c>
      <c r="K298" s="305">
        <f t="shared" si="96"/>
        <v>1.1666666666666667</v>
      </c>
    </row>
    <row r="299" spans="2:11" x14ac:dyDescent="0.2">
      <c r="B299" s="306"/>
      <c r="C299" s="306" t="s">
        <v>31</v>
      </c>
      <c r="D299" s="307">
        <v>50</v>
      </c>
      <c r="E299" s="308">
        <v>19.3</v>
      </c>
      <c r="F299" s="309">
        <f t="shared" si="100"/>
        <v>106.04395604395604</v>
      </c>
      <c r="G299" s="309">
        <f t="shared" si="98"/>
        <v>-6.0439560439560438</v>
      </c>
      <c r="H299" s="310">
        <f t="shared" si="101"/>
        <v>0</v>
      </c>
      <c r="I299" s="317">
        <v>4</v>
      </c>
      <c r="J299" s="290">
        <v>3</v>
      </c>
      <c r="K299" s="305">
        <f t="shared" si="96"/>
        <v>2.3333333333333335</v>
      </c>
    </row>
    <row r="300" spans="2:11" x14ac:dyDescent="0.2">
      <c r="B300" s="306"/>
      <c r="C300" s="306"/>
      <c r="D300" s="307">
        <v>52</v>
      </c>
      <c r="E300" s="308">
        <v>18.899999999999999</v>
      </c>
      <c r="F300" s="309">
        <f t="shared" si="100"/>
        <v>103.84615384615384</v>
      </c>
      <c r="G300" s="309">
        <f t="shared" si="98"/>
        <v>-3.8461538461538396</v>
      </c>
      <c r="H300" s="310">
        <f t="shared" si="101"/>
        <v>0</v>
      </c>
      <c r="I300" s="317">
        <v>3.5</v>
      </c>
      <c r="J300" s="290">
        <v>0</v>
      </c>
      <c r="K300" s="305">
        <f t="shared" si="96"/>
        <v>1.1666666666666667</v>
      </c>
    </row>
    <row r="301" spans="2:11" x14ac:dyDescent="0.2">
      <c r="B301" s="306"/>
      <c r="C301" s="306"/>
      <c r="D301" s="307">
        <v>54</v>
      </c>
      <c r="E301" s="308">
        <v>20.399999999999999</v>
      </c>
      <c r="F301" s="309">
        <f t="shared" si="100"/>
        <v>112.08791208791209</v>
      </c>
      <c r="G301" s="309">
        <f t="shared" si="98"/>
        <v>-12.087912087912088</v>
      </c>
      <c r="H301" s="310">
        <f t="shared" si="101"/>
        <v>0</v>
      </c>
      <c r="I301" s="317"/>
      <c r="J301" s="290"/>
      <c r="K301" s="305"/>
    </row>
    <row r="302" spans="2:11" x14ac:dyDescent="0.2">
      <c r="B302" s="306"/>
      <c r="C302" s="306" t="s">
        <v>30</v>
      </c>
      <c r="D302" s="307">
        <v>57</v>
      </c>
      <c r="E302" s="452">
        <v>22</v>
      </c>
      <c r="F302" s="309">
        <f t="shared" si="100"/>
        <v>120.87912087912089</v>
      </c>
      <c r="G302" s="309">
        <f t="shared" si="98"/>
        <v>-20.87912087912089</v>
      </c>
      <c r="H302" s="310">
        <f t="shared" si="101"/>
        <v>0</v>
      </c>
      <c r="I302" s="317">
        <v>3</v>
      </c>
      <c r="J302" s="290">
        <v>0</v>
      </c>
      <c r="K302" s="305">
        <f t="shared" si="96"/>
        <v>1</v>
      </c>
    </row>
    <row r="303" spans="2:11" x14ac:dyDescent="0.2">
      <c r="B303" s="306"/>
      <c r="C303" s="306"/>
      <c r="D303" s="307">
        <v>59</v>
      </c>
      <c r="E303" s="308">
        <v>22.1</v>
      </c>
      <c r="F303" s="309">
        <f t="shared" si="100"/>
        <v>121.42857142857144</v>
      </c>
      <c r="G303" s="309">
        <f t="shared" si="98"/>
        <v>-21.428571428571445</v>
      </c>
      <c r="H303" s="310">
        <f t="shared" si="101"/>
        <v>0</v>
      </c>
      <c r="I303" s="317">
        <v>3</v>
      </c>
      <c r="J303" s="290">
        <v>1.5</v>
      </c>
      <c r="K303" s="305">
        <f t="shared" si="96"/>
        <v>1.5</v>
      </c>
    </row>
    <row r="304" spans="2:11" x14ac:dyDescent="0.2">
      <c r="B304" s="306"/>
      <c r="C304" s="306"/>
      <c r="D304" s="307">
        <v>61</v>
      </c>
      <c r="E304" s="308">
        <v>21.5</v>
      </c>
      <c r="F304" s="309">
        <f t="shared" si="100"/>
        <v>118.13186813186813</v>
      </c>
      <c r="G304" s="309">
        <f t="shared" si="98"/>
        <v>-18.131868131868131</v>
      </c>
      <c r="H304" s="310">
        <f t="shared" si="101"/>
        <v>0</v>
      </c>
      <c r="I304" s="317">
        <v>2</v>
      </c>
      <c r="J304" s="290">
        <v>2.5</v>
      </c>
      <c r="K304" s="305">
        <f t="shared" si="96"/>
        <v>1.5</v>
      </c>
    </row>
    <row r="305" spans="1:11" ht="17" thickBot="1" x14ac:dyDescent="0.25">
      <c r="B305" s="319"/>
      <c r="C305" s="319"/>
      <c r="D305" s="320">
        <v>64</v>
      </c>
      <c r="E305" s="461">
        <v>21</v>
      </c>
      <c r="F305" s="322">
        <f t="shared" si="100"/>
        <v>115.3846153846154</v>
      </c>
      <c r="G305" s="322">
        <f t="shared" si="98"/>
        <v>-15.384615384615401</v>
      </c>
      <c r="H305" s="323">
        <f t="shared" si="101"/>
        <v>0</v>
      </c>
      <c r="I305" s="435">
        <v>2.5</v>
      </c>
      <c r="J305" s="436">
        <v>0.5</v>
      </c>
      <c r="K305" s="324">
        <f t="shared" si="96"/>
        <v>1</v>
      </c>
    </row>
    <row r="306" spans="1:11" x14ac:dyDescent="0.2">
      <c r="A306" s="479" t="s">
        <v>40</v>
      </c>
      <c r="B306" s="325" t="s">
        <v>2</v>
      </c>
      <c r="C306" s="326" t="s">
        <v>36</v>
      </c>
      <c r="D306" s="286">
        <v>1</v>
      </c>
      <c r="E306" s="327">
        <v>21.1</v>
      </c>
      <c r="F306" s="328">
        <v>100</v>
      </c>
      <c r="G306" s="328">
        <f t="shared" ref="G306:G317" si="102">100-F306</f>
        <v>0</v>
      </c>
      <c r="H306" s="329">
        <f t="shared" ref="H306:H317" si="103">IF(G306&lt;=1, 0, IF(AND(G306&gt;1, G306&lt;=5), 1, IF(AND(G306&gt;5, G306&lt;=10), 2, IF(AND(G306&gt;10, G306&lt;=15), 3, 4))))</f>
        <v>0</v>
      </c>
      <c r="I306" s="318">
        <v>1</v>
      </c>
      <c r="J306" s="318">
        <v>0</v>
      </c>
      <c r="K306" s="289">
        <f t="shared" ref="K306:K317" si="104">AVERAGE(H306:J306)</f>
        <v>0.33333333333333331</v>
      </c>
    </row>
    <row r="307" spans="1:11" x14ac:dyDescent="0.2">
      <c r="B307" s="330"/>
      <c r="C307" s="330"/>
      <c r="D307" s="292">
        <v>3</v>
      </c>
      <c r="E307" s="331">
        <v>19.3</v>
      </c>
      <c r="F307" s="294">
        <f t="shared" ref="F307:F317" si="105">E307/$E$306*100</f>
        <v>91.469194312796205</v>
      </c>
      <c r="G307" s="332">
        <f t="shared" si="102"/>
        <v>8.5308056872037952</v>
      </c>
      <c r="H307" s="333">
        <f t="shared" si="103"/>
        <v>2</v>
      </c>
      <c r="I307" s="334">
        <v>1</v>
      </c>
      <c r="J307" s="334">
        <v>0</v>
      </c>
      <c r="K307" s="289">
        <f t="shared" si="104"/>
        <v>1</v>
      </c>
    </row>
    <row r="308" spans="1:11" x14ac:dyDescent="0.2">
      <c r="B308" s="330"/>
      <c r="C308" s="330"/>
      <c r="D308" s="292">
        <v>5</v>
      </c>
      <c r="E308" s="331">
        <v>20.7</v>
      </c>
      <c r="F308" s="294">
        <f t="shared" si="105"/>
        <v>98.104265402843595</v>
      </c>
      <c r="G308" s="332">
        <f t="shared" si="102"/>
        <v>1.8957345971564052</v>
      </c>
      <c r="H308" s="333">
        <f t="shared" si="103"/>
        <v>1</v>
      </c>
      <c r="I308" s="334">
        <v>1</v>
      </c>
      <c r="J308" s="334">
        <v>0</v>
      </c>
      <c r="K308" s="289">
        <f t="shared" si="104"/>
        <v>0.66666666666666663</v>
      </c>
    </row>
    <row r="309" spans="1:11" x14ac:dyDescent="0.2">
      <c r="B309" s="330"/>
      <c r="C309" s="330"/>
      <c r="D309" s="292">
        <v>8</v>
      </c>
      <c r="E309" s="331">
        <v>22.2</v>
      </c>
      <c r="F309" s="294">
        <f t="shared" si="105"/>
        <v>105.21327014218009</v>
      </c>
      <c r="G309" s="332">
        <f t="shared" si="102"/>
        <v>-5.2132701421800931</v>
      </c>
      <c r="H309" s="333">
        <f t="shared" si="103"/>
        <v>0</v>
      </c>
      <c r="I309" s="334">
        <v>1.5</v>
      </c>
      <c r="J309" s="334">
        <v>0</v>
      </c>
      <c r="K309" s="289">
        <f t="shared" si="104"/>
        <v>0.5</v>
      </c>
    </row>
    <row r="310" spans="1:11" x14ac:dyDescent="0.2">
      <c r="B310" s="330"/>
      <c r="C310" s="330"/>
      <c r="D310" s="292">
        <v>10</v>
      </c>
      <c r="E310" s="331">
        <v>22.3</v>
      </c>
      <c r="F310" s="294">
        <f t="shared" si="105"/>
        <v>105.68720379146919</v>
      </c>
      <c r="G310" s="332">
        <f t="shared" si="102"/>
        <v>-5.6872037914691873</v>
      </c>
      <c r="H310" s="333">
        <f t="shared" si="103"/>
        <v>0</v>
      </c>
      <c r="I310" s="334">
        <v>2.5</v>
      </c>
      <c r="J310" s="334">
        <v>0</v>
      </c>
      <c r="K310" s="289">
        <f t="shared" si="104"/>
        <v>0.83333333333333337</v>
      </c>
    </row>
    <row r="311" spans="1:11" x14ac:dyDescent="0.2">
      <c r="B311" s="330"/>
      <c r="C311" s="330"/>
      <c r="D311" s="292">
        <v>12</v>
      </c>
      <c r="E311" s="331">
        <v>22.3</v>
      </c>
      <c r="F311" s="294">
        <f t="shared" si="105"/>
        <v>105.68720379146919</v>
      </c>
      <c r="G311" s="332">
        <f t="shared" si="102"/>
        <v>-5.6872037914691873</v>
      </c>
      <c r="H311" s="333">
        <f t="shared" si="103"/>
        <v>0</v>
      </c>
      <c r="I311" s="334">
        <v>2.5</v>
      </c>
      <c r="J311" s="334">
        <v>0</v>
      </c>
      <c r="K311" s="289">
        <f t="shared" si="104"/>
        <v>0.83333333333333337</v>
      </c>
    </row>
    <row r="312" spans="1:11" x14ac:dyDescent="0.2">
      <c r="B312" s="330"/>
      <c r="C312" s="336" t="s">
        <v>13</v>
      </c>
      <c r="D312" s="299">
        <v>15</v>
      </c>
      <c r="E312" s="331">
        <v>22.7</v>
      </c>
      <c r="F312" s="294">
        <f>E312/$E$306*100</f>
        <v>107.58293838862558</v>
      </c>
      <c r="G312" s="332">
        <f t="shared" si="102"/>
        <v>-7.5829383886255783</v>
      </c>
      <c r="H312" s="333">
        <f t="shared" si="103"/>
        <v>0</v>
      </c>
      <c r="I312" s="334">
        <v>2.5</v>
      </c>
      <c r="J312" s="334">
        <v>0</v>
      </c>
      <c r="K312" s="289">
        <f t="shared" si="104"/>
        <v>0.83333333333333337</v>
      </c>
    </row>
    <row r="313" spans="1:11" x14ac:dyDescent="0.2">
      <c r="B313" s="330"/>
      <c r="C313" s="330" t="s">
        <v>11</v>
      </c>
      <c r="D313" s="292">
        <v>17</v>
      </c>
      <c r="E313" s="331">
        <v>23.8</v>
      </c>
      <c r="F313" s="294">
        <f t="shared" si="105"/>
        <v>112.79620853080567</v>
      </c>
      <c r="G313" s="332">
        <f t="shared" si="102"/>
        <v>-12.796208530805671</v>
      </c>
      <c r="H313" s="333">
        <f t="shared" si="103"/>
        <v>0</v>
      </c>
      <c r="I313" s="334">
        <v>3</v>
      </c>
      <c r="J313" s="334">
        <v>0</v>
      </c>
      <c r="K313" s="289">
        <f t="shared" si="104"/>
        <v>1</v>
      </c>
    </row>
    <row r="314" spans="1:11" x14ac:dyDescent="0.2">
      <c r="B314" s="330"/>
      <c r="C314" s="330"/>
      <c r="D314" s="292">
        <v>19</v>
      </c>
      <c r="E314" s="331">
        <v>23.5</v>
      </c>
      <c r="F314" s="294">
        <f t="shared" si="105"/>
        <v>111.37440758293837</v>
      </c>
      <c r="G314" s="332">
        <f t="shared" si="102"/>
        <v>-11.374407582938375</v>
      </c>
      <c r="H314" s="333">
        <f t="shared" si="103"/>
        <v>0</v>
      </c>
      <c r="I314" s="334">
        <v>4</v>
      </c>
      <c r="J314" s="334">
        <v>0</v>
      </c>
      <c r="K314" s="289">
        <f t="shared" si="104"/>
        <v>1.3333333333333333</v>
      </c>
    </row>
    <row r="315" spans="1:11" x14ac:dyDescent="0.2">
      <c r="A315" s="122"/>
      <c r="B315" s="330"/>
      <c r="C315" s="330"/>
      <c r="D315" s="292">
        <v>22</v>
      </c>
      <c r="E315" s="331">
        <v>23.8</v>
      </c>
      <c r="F315" s="294">
        <f t="shared" si="105"/>
        <v>112.79620853080567</v>
      </c>
      <c r="G315" s="332">
        <f t="shared" si="102"/>
        <v>-12.796208530805671</v>
      </c>
      <c r="H315" s="333">
        <f t="shared" si="103"/>
        <v>0</v>
      </c>
      <c r="I315" s="334">
        <v>2.5</v>
      </c>
      <c r="J315" s="334">
        <v>1</v>
      </c>
      <c r="K315" s="289">
        <f t="shared" si="104"/>
        <v>1.1666666666666667</v>
      </c>
    </row>
    <row r="316" spans="1:11" x14ac:dyDescent="0.2">
      <c r="A316" s="122"/>
      <c r="B316" s="330"/>
      <c r="C316" s="330"/>
      <c r="D316" s="292">
        <v>24</v>
      </c>
      <c r="E316" s="331">
        <v>23.4</v>
      </c>
      <c r="F316" s="294">
        <f t="shared" si="105"/>
        <v>110.90047393364928</v>
      </c>
      <c r="G316" s="332">
        <f t="shared" si="102"/>
        <v>-10.90047393364928</v>
      </c>
      <c r="H316" s="333">
        <f t="shared" si="103"/>
        <v>0</v>
      </c>
      <c r="I316" s="334">
        <v>2.5</v>
      </c>
      <c r="J316" s="334">
        <v>1</v>
      </c>
      <c r="K316" s="335">
        <f t="shared" si="104"/>
        <v>1.1666666666666667</v>
      </c>
    </row>
    <row r="317" spans="1:11" x14ac:dyDescent="0.2">
      <c r="A317" s="122"/>
      <c r="B317" s="330"/>
      <c r="C317" s="330"/>
      <c r="D317" s="307">
        <v>26</v>
      </c>
      <c r="E317" s="331">
        <v>24.5</v>
      </c>
      <c r="F317" s="294">
        <f t="shared" si="105"/>
        <v>116.11374407582937</v>
      </c>
      <c r="G317" s="332">
        <f t="shared" si="102"/>
        <v>-16.113744075829374</v>
      </c>
      <c r="H317" s="333">
        <f t="shared" si="103"/>
        <v>0</v>
      </c>
      <c r="I317" s="334">
        <v>1.5</v>
      </c>
      <c r="J317" s="334">
        <v>1</v>
      </c>
      <c r="K317" s="335">
        <f t="shared" si="104"/>
        <v>0.83333333333333337</v>
      </c>
    </row>
    <row r="318" spans="1:11" x14ac:dyDescent="0.2">
      <c r="A318" s="122"/>
      <c r="B318" s="330"/>
      <c r="C318" s="330"/>
      <c r="D318" s="307">
        <v>29</v>
      </c>
      <c r="E318" s="331">
        <v>24.1</v>
      </c>
      <c r="F318" s="294">
        <f t="shared" ref="F318:F333" si="106">E318/$E$306*100</f>
        <v>114.21800947867298</v>
      </c>
      <c r="G318" s="332">
        <f t="shared" ref="G318:G333" si="107">100-F318</f>
        <v>-14.218009478672982</v>
      </c>
      <c r="H318" s="333">
        <f t="shared" ref="H318:H333" si="108">IF(G318&lt;=1, 0, IF(AND(G318&gt;1, G318&lt;=5), 1, IF(AND(G318&gt;5, G318&lt;=10), 2, IF(AND(G318&gt;10, G318&lt;=15), 3, 4))))</f>
        <v>0</v>
      </c>
      <c r="I318" s="334">
        <v>1.5</v>
      </c>
      <c r="J318" s="334">
        <v>0.5</v>
      </c>
      <c r="K318" s="335">
        <f t="shared" ref="K318:K333" si="109">AVERAGE(H318:J318)</f>
        <v>0.66666666666666663</v>
      </c>
    </row>
    <row r="319" spans="1:11" x14ac:dyDescent="0.2">
      <c r="A319" s="122"/>
      <c r="B319" s="330"/>
      <c r="C319" s="330" t="s">
        <v>30</v>
      </c>
      <c r="D319" s="286">
        <v>31</v>
      </c>
      <c r="E319" s="331">
        <v>24.3</v>
      </c>
      <c r="F319" s="294">
        <f t="shared" si="106"/>
        <v>115.16587677725119</v>
      </c>
      <c r="G319" s="332">
        <f t="shared" si="107"/>
        <v>-15.165876777251185</v>
      </c>
      <c r="H319" s="333">
        <f t="shared" si="108"/>
        <v>0</v>
      </c>
      <c r="I319" s="334">
        <v>2</v>
      </c>
      <c r="J319" s="334">
        <v>0.5</v>
      </c>
      <c r="K319" s="335">
        <f t="shared" si="109"/>
        <v>0.83333333333333337</v>
      </c>
    </row>
    <row r="320" spans="1:11" x14ac:dyDescent="0.2">
      <c r="B320" s="330"/>
      <c r="C320" s="330"/>
      <c r="D320" s="292">
        <v>33</v>
      </c>
      <c r="E320" s="331">
        <v>24.5</v>
      </c>
      <c r="F320" s="332">
        <f t="shared" si="106"/>
        <v>116.11374407582937</v>
      </c>
      <c r="G320" s="332">
        <f t="shared" si="107"/>
        <v>-16.113744075829374</v>
      </c>
      <c r="H320" s="333">
        <f t="shared" si="108"/>
        <v>0</v>
      </c>
      <c r="I320" s="334">
        <v>1.5</v>
      </c>
      <c r="J320" s="334">
        <v>0</v>
      </c>
      <c r="K320" s="335">
        <f t="shared" si="109"/>
        <v>0.5</v>
      </c>
    </row>
    <row r="321" spans="2:11" x14ac:dyDescent="0.2">
      <c r="B321" s="330"/>
      <c r="C321" s="330" t="s">
        <v>31</v>
      </c>
      <c r="D321" s="292">
        <v>36</v>
      </c>
      <c r="E321" s="331">
        <v>25.1</v>
      </c>
      <c r="F321" s="332">
        <f t="shared" si="106"/>
        <v>118.95734597156398</v>
      </c>
      <c r="G321" s="332">
        <f t="shared" si="107"/>
        <v>-18.957345971563981</v>
      </c>
      <c r="H321" s="333">
        <f t="shared" si="108"/>
        <v>0</v>
      </c>
      <c r="I321" s="334">
        <v>2.5</v>
      </c>
      <c r="J321" s="334">
        <v>4</v>
      </c>
      <c r="K321" s="335">
        <f t="shared" si="109"/>
        <v>2.1666666666666665</v>
      </c>
    </row>
    <row r="322" spans="2:11" x14ac:dyDescent="0.2">
      <c r="B322" s="330"/>
      <c r="C322" s="330"/>
      <c r="D322" s="292">
        <v>38</v>
      </c>
      <c r="E322" s="331">
        <v>25.3</v>
      </c>
      <c r="F322" s="332">
        <f t="shared" si="106"/>
        <v>119.90521327014218</v>
      </c>
      <c r="G322" s="332">
        <f t="shared" si="107"/>
        <v>-19.905213270142184</v>
      </c>
      <c r="H322" s="333">
        <f t="shared" si="108"/>
        <v>0</v>
      </c>
      <c r="I322" s="334">
        <v>2.5</v>
      </c>
      <c r="J322" s="334">
        <v>1</v>
      </c>
      <c r="K322" s="335">
        <f t="shared" si="109"/>
        <v>1.1666666666666667</v>
      </c>
    </row>
    <row r="323" spans="2:11" x14ac:dyDescent="0.2">
      <c r="B323" s="330"/>
      <c r="C323" s="330"/>
      <c r="D323" s="292">
        <v>40</v>
      </c>
      <c r="E323" s="331">
        <v>25.5</v>
      </c>
      <c r="F323" s="332">
        <f t="shared" si="106"/>
        <v>120.85308056872037</v>
      </c>
      <c r="G323" s="332">
        <f t="shared" si="107"/>
        <v>-20.853080568720372</v>
      </c>
      <c r="H323" s="333">
        <f t="shared" si="108"/>
        <v>0</v>
      </c>
      <c r="I323" s="334">
        <v>2.5</v>
      </c>
      <c r="J323" s="334">
        <v>1</v>
      </c>
      <c r="K323" s="335">
        <f t="shared" si="109"/>
        <v>1.1666666666666667</v>
      </c>
    </row>
    <row r="324" spans="2:11" x14ac:dyDescent="0.2">
      <c r="B324" s="330"/>
      <c r="C324" s="330" t="s">
        <v>30</v>
      </c>
      <c r="D324" s="292">
        <v>43</v>
      </c>
      <c r="E324" s="331">
        <v>25.5</v>
      </c>
      <c r="F324" s="332">
        <f t="shared" si="106"/>
        <v>120.85308056872037</v>
      </c>
      <c r="G324" s="332">
        <f t="shared" si="107"/>
        <v>-20.853080568720372</v>
      </c>
      <c r="H324" s="333">
        <f t="shared" si="108"/>
        <v>0</v>
      </c>
      <c r="I324" s="334">
        <v>1</v>
      </c>
      <c r="J324" s="334">
        <v>0</v>
      </c>
      <c r="K324" s="335">
        <f t="shared" si="109"/>
        <v>0.33333333333333331</v>
      </c>
    </row>
    <row r="325" spans="2:11" x14ac:dyDescent="0.2">
      <c r="B325" s="330"/>
      <c r="C325" s="330"/>
      <c r="D325" s="292">
        <v>45</v>
      </c>
      <c r="E325" s="331">
        <v>25.9</v>
      </c>
      <c r="F325" s="332">
        <f t="shared" si="106"/>
        <v>122.74881516587676</v>
      </c>
      <c r="G325" s="332">
        <f t="shared" si="107"/>
        <v>-22.748815165876763</v>
      </c>
      <c r="H325" s="333">
        <f t="shared" si="108"/>
        <v>0</v>
      </c>
      <c r="I325" s="334">
        <v>2.5</v>
      </c>
      <c r="J325" s="334">
        <v>0.5</v>
      </c>
      <c r="K325" s="335">
        <f t="shared" si="109"/>
        <v>1</v>
      </c>
    </row>
    <row r="326" spans="2:11" x14ac:dyDescent="0.2">
      <c r="B326" s="330"/>
      <c r="C326" s="330"/>
      <c r="D326" s="307">
        <v>47</v>
      </c>
      <c r="E326" s="331">
        <v>25.8</v>
      </c>
      <c r="F326" s="332">
        <f t="shared" si="106"/>
        <v>122.27488151658767</v>
      </c>
      <c r="G326" s="332">
        <f t="shared" si="107"/>
        <v>-22.274881516587669</v>
      </c>
      <c r="H326" s="333">
        <f t="shared" si="108"/>
        <v>0</v>
      </c>
      <c r="I326" s="334">
        <v>2</v>
      </c>
      <c r="J326" s="334">
        <v>2.5</v>
      </c>
      <c r="K326" s="335">
        <f t="shared" si="109"/>
        <v>1.5</v>
      </c>
    </row>
    <row r="327" spans="2:11" x14ac:dyDescent="0.2">
      <c r="B327" s="330"/>
      <c r="C327" s="330" t="s">
        <v>31</v>
      </c>
      <c r="D327" s="307">
        <v>50</v>
      </c>
      <c r="E327" s="412">
        <v>25</v>
      </c>
      <c r="F327" s="332">
        <f t="shared" si="106"/>
        <v>118.48341232227489</v>
      </c>
      <c r="G327" s="332">
        <f t="shared" si="107"/>
        <v>-18.483412322274887</v>
      </c>
      <c r="H327" s="333">
        <f t="shared" si="108"/>
        <v>0</v>
      </c>
      <c r="I327" s="334">
        <v>3</v>
      </c>
      <c r="J327" s="334">
        <v>1</v>
      </c>
      <c r="K327" s="335">
        <f t="shared" si="109"/>
        <v>1.3333333333333333</v>
      </c>
    </row>
    <row r="328" spans="2:11" x14ac:dyDescent="0.2">
      <c r="B328" s="330"/>
      <c r="C328" s="330"/>
      <c r="D328" s="307">
        <v>52</v>
      </c>
      <c r="E328" s="331">
        <v>25.6</v>
      </c>
      <c r="F328" s="332">
        <f t="shared" si="106"/>
        <v>121.32701421800948</v>
      </c>
      <c r="G328" s="332">
        <f t="shared" si="107"/>
        <v>-21.327014218009481</v>
      </c>
      <c r="H328" s="333">
        <f t="shared" si="108"/>
        <v>0</v>
      </c>
      <c r="I328" s="334">
        <v>1</v>
      </c>
      <c r="J328" s="334">
        <v>0.5</v>
      </c>
      <c r="K328" s="335">
        <f t="shared" si="109"/>
        <v>0.5</v>
      </c>
    </row>
    <row r="329" spans="2:11" x14ac:dyDescent="0.2">
      <c r="B329" s="330"/>
      <c r="C329" s="330"/>
      <c r="D329" s="307">
        <v>54</v>
      </c>
      <c r="E329" s="331">
        <v>25.9</v>
      </c>
      <c r="F329" s="332">
        <f t="shared" si="106"/>
        <v>122.74881516587676</v>
      </c>
      <c r="G329" s="332">
        <f t="shared" si="107"/>
        <v>-22.748815165876763</v>
      </c>
      <c r="H329" s="333">
        <f t="shared" si="108"/>
        <v>0</v>
      </c>
      <c r="I329" s="334">
        <v>1.5</v>
      </c>
      <c r="J329" s="334">
        <v>0</v>
      </c>
      <c r="K329" s="335">
        <f t="shared" si="109"/>
        <v>0.5</v>
      </c>
    </row>
    <row r="330" spans="2:11" x14ac:dyDescent="0.2">
      <c r="B330" s="330"/>
      <c r="C330" s="330" t="s">
        <v>30</v>
      </c>
      <c r="D330" s="307">
        <v>57</v>
      </c>
      <c r="E330" s="331">
        <v>26.3</v>
      </c>
      <c r="F330" s="332">
        <f t="shared" si="106"/>
        <v>124.64454976303317</v>
      </c>
      <c r="G330" s="332">
        <f t="shared" si="107"/>
        <v>-24.644549763033169</v>
      </c>
      <c r="H330" s="333">
        <f t="shared" si="108"/>
        <v>0</v>
      </c>
      <c r="I330" s="334">
        <v>1.5</v>
      </c>
      <c r="J330" s="334">
        <v>0</v>
      </c>
      <c r="K330" s="335">
        <f t="shared" si="109"/>
        <v>0.5</v>
      </c>
    </row>
    <row r="331" spans="2:11" x14ac:dyDescent="0.2">
      <c r="B331" s="330"/>
      <c r="C331" s="330"/>
      <c r="D331" s="307">
        <v>59</v>
      </c>
      <c r="E331" s="331">
        <v>26.7</v>
      </c>
      <c r="F331" s="332">
        <f t="shared" si="106"/>
        <v>126.54028436018956</v>
      </c>
      <c r="G331" s="332">
        <f t="shared" si="107"/>
        <v>-26.54028436018956</v>
      </c>
      <c r="H331" s="333">
        <f t="shared" si="108"/>
        <v>0</v>
      </c>
      <c r="I331" s="334">
        <v>2</v>
      </c>
      <c r="J331" s="334">
        <v>1</v>
      </c>
      <c r="K331" s="335">
        <f t="shared" si="109"/>
        <v>1</v>
      </c>
    </row>
    <row r="332" spans="2:11" x14ac:dyDescent="0.2">
      <c r="B332" s="330"/>
      <c r="C332" s="330"/>
      <c r="D332" s="307">
        <v>61</v>
      </c>
      <c r="E332" s="331">
        <v>25.8</v>
      </c>
      <c r="F332" s="332">
        <f t="shared" si="106"/>
        <v>122.27488151658767</v>
      </c>
      <c r="G332" s="332">
        <f t="shared" si="107"/>
        <v>-22.274881516587669</v>
      </c>
      <c r="H332" s="333">
        <f t="shared" si="108"/>
        <v>0</v>
      </c>
      <c r="I332" s="334">
        <v>4</v>
      </c>
      <c r="J332" s="334">
        <v>0.5</v>
      </c>
      <c r="K332" s="335">
        <f t="shared" si="109"/>
        <v>1.5</v>
      </c>
    </row>
    <row r="333" spans="2:11" ht="17" thickBot="1" x14ac:dyDescent="0.25">
      <c r="B333" s="330"/>
      <c r="C333" s="330"/>
      <c r="D333" s="320">
        <v>64</v>
      </c>
      <c r="E333" s="331">
        <v>25.8</v>
      </c>
      <c r="F333" s="332">
        <f t="shared" si="106"/>
        <v>122.27488151658767</v>
      </c>
      <c r="G333" s="332">
        <f t="shared" si="107"/>
        <v>-22.274881516587669</v>
      </c>
      <c r="H333" s="333">
        <f t="shared" si="108"/>
        <v>0</v>
      </c>
      <c r="I333" s="334">
        <v>3</v>
      </c>
      <c r="J333" s="334">
        <v>0.5</v>
      </c>
      <c r="K333" s="335">
        <f t="shared" si="109"/>
        <v>1.1666666666666667</v>
      </c>
    </row>
    <row r="337" spans="1:11" x14ac:dyDescent="0.2">
      <c r="A337" s="123" t="s">
        <v>39</v>
      </c>
      <c r="B337" s="337" t="s">
        <v>0</v>
      </c>
      <c r="C337" s="337" t="s">
        <v>36</v>
      </c>
      <c r="D337" s="493">
        <v>1</v>
      </c>
      <c r="E337" s="496">
        <v>20.2</v>
      </c>
      <c r="F337" s="494">
        <v>100</v>
      </c>
      <c r="G337" s="340">
        <f t="shared" ref="G337:G348" si="110">100-F337</f>
        <v>0</v>
      </c>
      <c r="H337" s="341">
        <f t="shared" ref="H337:H348" si="111">IF(G337&lt;=1, 0, IF(AND(G337&gt;1, G337&lt;=5), 1, IF(AND(G337&gt;5, G337&lt;=10), 2, IF(AND(G337&gt;10, G337&lt;=15), 3, 4))))</f>
        <v>0</v>
      </c>
      <c r="I337" s="342">
        <v>1</v>
      </c>
      <c r="J337" s="342">
        <v>0</v>
      </c>
      <c r="K337" s="341">
        <f t="shared" ref="K337:K348" si="112">AVERAGE(H337:J337)</f>
        <v>0.33333333333333331</v>
      </c>
    </row>
    <row r="338" spans="1:11" x14ac:dyDescent="0.2">
      <c r="B338" s="343"/>
      <c r="C338" s="343"/>
      <c r="D338" s="344">
        <v>3</v>
      </c>
      <c r="E338" s="495">
        <v>18.100000000000001</v>
      </c>
      <c r="F338" s="346">
        <f t="shared" ref="F338:F345" si="113">E338/$E$337*100</f>
        <v>89.603960396039611</v>
      </c>
      <c r="G338" s="346">
        <f t="shared" si="110"/>
        <v>10.396039603960389</v>
      </c>
      <c r="H338" s="347">
        <f t="shared" si="111"/>
        <v>3</v>
      </c>
      <c r="I338" s="348">
        <v>2</v>
      </c>
      <c r="J338" s="342">
        <v>0</v>
      </c>
      <c r="K338" s="347">
        <f t="shared" si="112"/>
        <v>1.6666666666666667</v>
      </c>
    </row>
    <row r="339" spans="1:11" x14ac:dyDescent="0.2">
      <c r="B339" s="343"/>
      <c r="C339" s="343"/>
      <c r="D339" s="344">
        <v>5</v>
      </c>
      <c r="E339" s="345">
        <v>20</v>
      </c>
      <c r="F339" s="346">
        <f t="shared" si="113"/>
        <v>99.009900990099013</v>
      </c>
      <c r="G339" s="346">
        <f t="shared" si="110"/>
        <v>0.99009900990098743</v>
      </c>
      <c r="H339" s="347">
        <f t="shared" si="111"/>
        <v>0</v>
      </c>
      <c r="I339" s="348">
        <v>1</v>
      </c>
      <c r="J339" s="342">
        <v>0</v>
      </c>
      <c r="K339" s="347">
        <f t="shared" si="112"/>
        <v>0.33333333333333331</v>
      </c>
    </row>
    <row r="340" spans="1:11" x14ac:dyDescent="0.2">
      <c r="B340" s="343"/>
      <c r="C340" s="343"/>
      <c r="D340" s="344">
        <v>8</v>
      </c>
      <c r="E340" s="349">
        <v>20.399999999999999</v>
      </c>
      <c r="F340" s="346">
        <f t="shared" si="113"/>
        <v>100.99009900990099</v>
      </c>
      <c r="G340" s="346">
        <f t="shared" si="110"/>
        <v>-0.99009900990098743</v>
      </c>
      <c r="H340" s="347">
        <f t="shared" si="111"/>
        <v>0</v>
      </c>
      <c r="I340" s="348">
        <v>2</v>
      </c>
      <c r="J340" s="342">
        <v>0</v>
      </c>
      <c r="K340" s="347">
        <f t="shared" si="112"/>
        <v>0.66666666666666663</v>
      </c>
    </row>
    <row r="341" spans="1:11" x14ac:dyDescent="0.2">
      <c r="B341" s="343"/>
      <c r="C341" s="343"/>
      <c r="D341" s="344">
        <v>10</v>
      </c>
      <c r="E341" s="349">
        <v>21.3</v>
      </c>
      <c r="F341" s="346">
        <f t="shared" si="113"/>
        <v>105.44554455445545</v>
      </c>
      <c r="G341" s="346">
        <f t="shared" si="110"/>
        <v>-5.4455445544554522</v>
      </c>
      <c r="H341" s="347">
        <f t="shared" si="111"/>
        <v>0</v>
      </c>
      <c r="I341" s="348">
        <v>2.5</v>
      </c>
      <c r="J341" s="342">
        <v>0</v>
      </c>
      <c r="K341" s="347">
        <f t="shared" si="112"/>
        <v>0.83333333333333337</v>
      </c>
    </row>
    <row r="342" spans="1:11" x14ac:dyDescent="0.2">
      <c r="B342" s="343"/>
      <c r="C342" s="343"/>
      <c r="D342" s="344">
        <v>12</v>
      </c>
      <c r="E342" s="349">
        <v>22.6</v>
      </c>
      <c r="F342" s="346">
        <f t="shared" si="113"/>
        <v>111.88118811881189</v>
      </c>
      <c r="G342" s="346">
        <f t="shared" si="110"/>
        <v>-11.881188118811892</v>
      </c>
      <c r="H342" s="347">
        <f t="shared" si="111"/>
        <v>0</v>
      </c>
      <c r="I342" s="348">
        <v>3</v>
      </c>
      <c r="J342" s="342">
        <v>0</v>
      </c>
      <c r="K342" s="347">
        <f t="shared" si="112"/>
        <v>1</v>
      </c>
    </row>
    <row r="343" spans="1:11" x14ac:dyDescent="0.2">
      <c r="B343" s="350"/>
      <c r="C343" s="350" t="s">
        <v>13</v>
      </c>
      <c r="D343" s="351">
        <v>15</v>
      </c>
      <c r="E343" s="349">
        <v>23.8</v>
      </c>
      <c r="F343" s="346">
        <f t="shared" si="113"/>
        <v>117.82178217821783</v>
      </c>
      <c r="G343" s="352">
        <f t="shared" si="110"/>
        <v>-17.821782178217831</v>
      </c>
      <c r="H343" s="353">
        <f t="shared" si="111"/>
        <v>0</v>
      </c>
      <c r="I343" s="354">
        <v>2.5</v>
      </c>
      <c r="J343" s="342">
        <v>0</v>
      </c>
      <c r="K343" s="347">
        <f t="shared" si="112"/>
        <v>0.83333333333333337</v>
      </c>
    </row>
    <row r="344" spans="1:11" x14ac:dyDescent="0.2">
      <c r="B344" s="343"/>
      <c r="C344" s="343" t="s">
        <v>11</v>
      </c>
      <c r="D344" s="344">
        <v>17</v>
      </c>
      <c r="E344" s="355">
        <v>23.4</v>
      </c>
      <c r="F344" s="346">
        <f t="shared" si="113"/>
        <v>115.84158415841583</v>
      </c>
      <c r="G344" s="346">
        <f t="shared" si="110"/>
        <v>-15.841584158415827</v>
      </c>
      <c r="H344" s="347">
        <f t="shared" si="111"/>
        <v>0</v>
      </c>
      <c r="I344" s="348">
        <v>3</v>
      </c>
      <c r="J344" s="342">
        <v>0</v>
      </c>
      <c r="K344" s="356">
        <f t="shared" si="112"/>
        <v>1</v>
      </c>
    </row>
    <row r="345" spans="1:11" x14ac:dyDescent="0.2">
      <c r="B345" s="343"/>
      <c r="C345" s="343"/>
      <c r="D345" s="344">
        <v>19</v>
      </c>
      <c r="E345" s="355">
        <v>22.6</v>
      </c>
      <c r="F345" s="346">
        <f t="shared" si="113"/>
        <v>111.88118811881189</v>
      </c>
      <c r="G345" s="346">
        <f t="shared" si="110"/>
        <v>-11.881188118811892</v>
      </c>
      <c r="H345" s="347">
        <f t="shared" si="111"/>
        <v>0</v>
      </c>
      <c r="I345" s="348">
        <v>4</v>
      </c>
      <c r="J345" s="342">
        <v>0.5</v>
      </c>
      <c r="K345" s="357">
        <f t="shared" si="112"/>
        <v>1.5</v>
      </c>
    </row>
    <row r="346" spans="1:11" x14ac:dyDescent="0.2">
      <c r="B346" s="343"/>
      <c r="C346" s="343"/>
      <c r="D346" s="344">
        <v>22</v>
      </c>
      <c r="E346" s="391">
        <v>23</v>
      </c>
      <c r="F346" s="346">
        <f t="shared" ref="F346:F364" si="114">E346/$E$337*100</f>
        <v>113.86138613861388</v>
      </c>
      <c r="G346" s="346">
        <f t="shared" si="110"/>
        <v>-13.861386138613881</v>
      </c>
      <c r="H346" s="347">
        <f t="shared" si="111"/>
        <v>0</v>
      </c>
      <c r="I346" s="348">
        <v>2</v>
      </c>
      <c r="J346" s="342">
        <v>0.5</v>
      </c>
      <c r="K346" s="357">
        <f t="shared" si="112"/>
        <v>0.83333333333333337</v>
      </c>
    </row>
    <row r="347" spans="1:11" x14ac:dyDescent="0.2">
      <c r="B347" s="343"/>
      <c r="C347" s="343"/>
      <c r="D347" s="344">
        <v>24</v>
      </c>
      <c r="E347" s="391">
        <v>24</v>
      </c>
      <c r="F347" s="346">
        <f t="shared" si="114"/>
        <v>118.8118811881188</v>
      </c>
      <c r="G347" s="346">
        <f t="shared" si="110"/>
        <v>-18.811881188118804</v>
      </c>
      <c r="H347" s="347">
        <f t="shared" si="111"/>
        <v>0</v>
      </c>
      <c r="I347" s="348">
        <v>1</v>
      </c>
      <c r="J347" s="342">
        <v>0</v>
      </c>
      <c r="K347" s="357">
        <f t="shared" si="112"/>
        <v>0.33333333333333331</v>
      </c>
    </row>
    <row r="348" spans="1:11" x14ac:dyDescent="0.2">
      <c r="B348" s="358"/>
      <c r="C348" s="358"/>
      <c r="D348" s="359">
        <v>26</v>
      </c>
      <c r="E348" s="360">
        <v>23.2</v>
      </c>
      <c r="F348" s="361">
        <f t="shared" si="114"/>
        <v>114.85148514851484</v>
      </c>
      <c r="G348" s="361">
        <f t="shared" si="110"/>
        <v>-14.85148514851484</v>
      </c>
      <c r="H348" s="362">
        <f t="shared" si="111"/>
        <v>0</v>
      </c>
      <c r="I348" s="363">
        <v>1.5</v>
      </c>
      <c r="J348" s="342">
        <v>0</v>
      </c>
      <c r="K348" s="357">
        <f t="shared" si="112"/>
        <v>0.5</v>
      </c>
    </row>
    <row r="349" spans="1:11" x14ac:dyDescent="0.2">
      <c r="B349" s="358"/>
      <c r="C349" s="358"/>
      <c r="D349" s="359">
        <v>29</v>
      </c>
      <c r="E349" s="360">
        <v>24.9</v>
      </c>
      <c r="F349" s="361">
        <f t="shared" si="114"/>
        <v>123.26732673267327</v>
      </c>
      <c r="G349" s="361">
        <f t="shared" ref="G349:G364" si="115">100-F349</f>
        <v>-23.267326732673268</v>
      </c>
      <c r="H349" s="362">
        <f t="shared" ref="H349:H364" si="116">IF(G349&lt;=1, 0, IF(AND(G349&gt;1, G349&lt;=5), 1, IF(AND(G349&gt;5, G349&lt;=10), 2, IF(AND(G349&gt;10, G349&lt;=15), 3, 4))))</f>
        <v>0</v>
      </c>
      <c r="I349" s="363">
        <v>1</v>
      </c>
      <c r="J349" s="342">
        <v>0.5</v>
      </c>
      <c r="K349" s="357">
        <f t="shared" ref="K349:K364" si="117">AVERAGE(H349:J349)</f>
        <v>0.5</v>
      </c>
    </row>
    <row r="350" spans="1:11" x14ac:dyDescent="0.2">
      <c r="B350" s="337"/>
      <c r="C350" s="337" t="s">
        <v>30</v>
      </c>
      <c r="D350" s="338">
        <v>31</v>
      </c>
      <c r="E350" s="364">
        <v>24.1</v>
      </c>
      <c r="F350" s="340">
        <f t="shared" si="114"/>
        <v>119.30693069306932</v>
      </c>
      <c r="G350" s="340">
        <f t="shared" si="115"/>
        <v>-19.306930693069319</v>
      </c>
      <c r="H350" s="341">
        <f t="shared" si="116"/>
        <v>0</v>
      </c>
      <c r="I350" s="342">
        <v>1.5</v>
      </c>
      <c r="J350" s="342">
        <v>0.5</v>
      </c>
      <c r="K350" s="357">
        <f t="shared" si="117"/>
        <v>0.66666666666666663</v>
      </c>
    </row>
    <row r="351" spans="1:11" x14ac:dyDescent="0.2">
      <c r="B351" s="343"/>
      <c r="C351" s="343"/>
      <c r="D351" s="344">
        <v>33</v>
      </c>
      <c r="E351" s="397">
        <v>24.7</v>
      </c>
      <c r="F351" s="346">
        <f t="shared" si="114"/>
        <v>122.27722772277228</v>
      </c>
      <c r="G351" s="346">
        <f t="shared" si="115"/>
        <v>-22.277227722772281</v>
      </c>
      <c r="H351" s="347">
        <f t="shared" si="116"/>
        <v>0</v>
      </c>
      <c r="I351" s="342">
        <v>1.5</v>
      </c>
      <c r="J351" s="342">
        <v>0.5</v>
      </c>
      <c r="K351" s="365">
        <f t="shared" si="117"/>
        <v>0.66666666666666663</v>
      </c>
    </row>
    <row r="352" spans="1:11" x14ac:dyDescent="0.2">
      <c r="B352" s="343"/>
      <c r="C352" s="343" t="s">
        <v>31</v>
      </c>
      <c r="D352" s="344">
        <v>36</v>
      </c>
      <c r="E352" s="355">
        <v>24.4</v>
      </c>
      <c r="F352" s="346">
        <f t="shared" si="114"/>
        <v>120.79207920792079</v>
      </c>
      <c r="G352" s="346">
        <f t="shared" si="115"/>
        <v>-20.792079207920793</v>
      </c>
      <c r="H352" s="347">
        <f t="shared" si="116"/>
        <v>0</v>
      </c>
      <c r="I352" s="342">
        <v>3</v>
      </c>
      <c r="J352" s="342">
        <v>2.5</v>
      </c>
      <c r="K352" s="365">
        <f t="shared" si="117"/>
        <v>1.8333333333333333</v>
      </c>
    </row>
    <row r="353" spans="1:11" x14ac:dyDescent="0.2">
      <c r="B353" s="343"/>
      <c r="C353" s="343"/>
      <c r="D353" s="344">
        <v>38</v>
      </c>
      <c r="E353" s="355">
        <v>24.2</v>
      </c>
      <c r="F353" s="346">
        <f t="shared" si="114"/>
        <v>119.80198019801979</v>
      </c>
      <c r="G353" s="346">
        <f t="shared" si="115"/>
        <v>-19.801980198019791</v>
      </c>
      <c r="H353" s="347">
        <f t="shared" si="116"/>
        <v>0</v>
      </c>
      <c r="I353" s="342">
        <v>2</v>
      </c>
      <c r="J353" s="342">
        <v>0.5</v>
      </c>
      <c r="K353" s="357">
        <f t="shared" si="117"/>
        <v>0.83333333333333337</v>
      </c>
    </row>
    <row r="354" spans="1:11" x14ac:dyDescent="0.2">
      <c r="B354" s="343"/>
      <c r="C354" s="343"/>
      <c r="D354" s="344">
        <v>40</v>
      </c>
      <c r="E354" s="355">
        <v>25.1</v>
      </c>
      <c r="F354" s="346">
        <f t="shared" si="114"/>
        <v>124.25742574257428</v>
      </c>
      <c r="G354" s="346">
        <f t="shared" si="115"/>
        <v>-24.257425742574284</v>
      </c>
      <c r="H354" s="347">
        <f t="shared" si="116"/>
        <v>0</v>
      </c>
      <c r="I354" s="342">
        <v>3</v>
      </c>
      <c r="J354" s="342">
        <v>0.5</v>
      </c>
      <c r="K354" s="357">
        <f t="shared" si="117"/>
        <v>1.1666666666666667</v>
      </c>
    </row>
    <row r="355" spans="1:11" x14ac:dyDescent="0.2">
      <c r="B355" s="343"/>
      <c r="C355" s="343" t="s">
        <v>30</v>
      </c>
      <c r="D355" s="344">
        <v>43</v>
      </c>
      <c r="E355" s="355">
        <v>25.4</v>
      </c>
      <c r="F355" s="346">
        <f t="shared" si="114"/>
        <v>125.74257425742574</v>
      </c>
      <c r="G355" s="346">
        <f t="shared" si="115"/>
        <v>-25.742574257425744</v>
      </c>
      <c r="H355" s="347">
        <f t="shared" si="116"/>
        <v>0</v>
      </c>
      <c r="I355" s="342">
        <v>2</v>
      </c>
      <c r="J355" s="342">
        <v>0.5</v>
      </c>
      <c r="K355" s="357">
        <f t="shared" si="117"/>
        <v>0.83333333333333337</v>
      </c>
    </row>
    <row r="356" spans="1:11" x14ac:dyDescent="0.2">
      <c r="B356" s="343"/>
      <c r="C356" s="343"/>
      <c r="D356" s="344">
        <v>45</v>
      </c>
      <c r="E356" s="355">
        <v>26.6</v>
      </c>
      <c r="F356" s="346">
        <f t="shared" si="114"/>
        <v>131.68316831683168</v>
      </c>
      <c r="G356" s="346">
        <f t="shared" si="115"/>
        <v>-31.683168316831683</v>
      </c>
      <c r="H356" s="347">
        <f t="shared" si="116"/>
        <v>0</v>
      </c>
      <c r="I356" s="342">
        <v>2.5</v>
      </c>
      <c r="J356" s="342">
        <v>0.5</v>
      </c>
      <c r="K356" s="357">
        <f t="shared" si="117"/>
        <v>1</v>
      </c>
    </row>
    <row r="357" spans="1:11" x14ac:dyDescent="0.2">
      <c r="B357" s="358"/>
      <c r="C357" s="358"/>
      <c r="D357" s="359">
        <v>47</v>
      </c>
      <c r="E357" s="360">
        <v>25.7</v>
      </c>
      <c r="F357" s="361">
        <f t="shared" si="114"/>
        <v>127.22772277227723</v>
      </c>
      <c r="G357" s="361">
        <f t="shared" si="115"/>
        <v>-27.227722772277232</v>
      </c>
      <c r="H357" s="362">
        <f t="shared" si="116"/>
        <v>0</v>
      </c>
      <c r="I357" s="366">
        <v>2.5</v>
      </c>
      <c r="J357" s="342">
        <v>3</v>
      </c>
      <c r="K357" s="357">
        <f t="shared" si="117"/>
        <v>1.8333333333333333</v>
      </c>
    </row>
    <row r="358" spans="1:11" x14ac:dyDescent="0.2">
      <c r="B358" s="358"/>
      <c r="C358" s="358" t="s">
        <v>31</v>
      </c>
      <c r="D358" s="359">
        <v>50</v>
      </c>
      <c r="E358" s="360">
        <v>24.3</v>
      </c>
      <c r="F358" s="361">
        <f t="shared" si="114"/>
        <v>120.29702970297032</v>
      </c>
      <c r="G358" s="361">
        <f t="shared" si="115"/>
        <v>-20.29702970297032</v>
      </c>
      <c r="H358" s="362">
        <f t="shared" si="116"/>
        <v>0</v>
      </c>
      <c r="I358" s="367">
        <v>2.5</v>
      </c>
      <c r="J358" s="342">
        <v>3</v>
      </c>
      <c r="K358" s="357">
        <f t="shared" si="117"/>
        <v>1.8333333333333333</v>
      </c>
    </row>
    <row r="359" spans="1:11" x14ac:dyDescent="0.2">
      <c r="B359" s="358"/>
      <c r="C359" s="358"/>
      <c r="D359" s="359">
        <v>52</v>
      </c>
      <c r="E359" s="360">
        <v>22.9</v>
      </c>
      <c r="F359" s="361">
        <f t="shared" si="114"/>
        <v>113.36633663366335</v>
      </c>
      <c r="G359" s="361">
        <f t="shared" si="115"/>
        <v>-13.366336633663352</v>
      </c>
      <c r="H359" s="362">
        <f t="shared" si="116"/>
        <v>0</v>
      </c>
      <c r="I359" s="367">
        <v>3.5</v>
      </c>
      <c r="J359" s="342">
        <v>0.5</v>
      </c>
      <c r="K359" s="357">
        <f t="shared" si="117"/>
        <v>1.3333333333333333</v>
      </c>
    </row>
    <row r="360" spans="1:11" x14ac:dyDescent="0.2">
      <c r="B360" s="358"/>
      <c r="C360" s="358"/>
      <c r="D360" s="359">
        <v>54</v>
      </c>
      <c r="E360" s="360">
        <v>25.3</v>
      </c>
      <c r="F360" s="361">
        <f t="shared" si="114"/>
        <v>125.24752475247524</v>
      </c>
      <c r="G360" s="361">
        <f t="shared" si="115"/>
        <v>-25.247524752475243</v>
      </c>
      <c r="H360" s="362">
        <f t="shared" si="116"/>
        <v>0</v>
      </c>
      <c r="I360" s="367">
        <v>3</v>
      </c>
      <c r="J360" s="342">
        <v>0</v>
      </c>
      <c r="K360" s="357">
        <f t="shared" si="117"/>
        <v>1</v>
      </c>
    </row>
    <row r="361" spans="1:11" x14ac:dyDescent="0.2">
      <c r="B361" s="358"/>
      <c r="C361" s="358" t="s">
        <v>30</v>
      </c>
      <c r="D361" s="359">
        <v>57</v>
      </c>
      <c r="E361" s="453">
        <v>26</v>
      </c>
      <c r="F361" s="361">
        <f t="shared" si="114"/>
        <v>128.71287128712871</v>
      </c>
      <c r="G361" s="361">
        <f t="shared" si="115"/>
        <v>-28.712871287128706</v>
      </c>
      <c r="H361" s="362">
        <f t="shared" si="116"/>
        <v>0</v>
      </c>
      <c r="I361" s="367">
        <v>3</v>
      </c>
      <c r="J361" s="342">
        <v>0</v>
      </c>
      <c r="K361" s="357">
        <f t="shared" si="117"/>
        <v>1</v>
      </c>
    </row>
    <row r="362" spans="1:11" x14ac:dyDescent="0.2">
      <c r="B362" s="358"/>
      <c r="C362" s="358"/>
      <c r="D362" s="359">
        <v>59</v>
      </c>
      <c r="E362" s="360">
        <v>26.6</v>
      </c>
      <c r="F362" s="361">
        <f t="shared" si="114"/>
        <v>131.68316831683168</v>
      </c>
      <c r="G362" s="361">
        <f t="shared" si="115"/>
        <v>-31.683168316831683</v>
      </c>
      <c r="H362" s="362">
        <f t="shared" si="116"/>
        <v>0</v>
      </c>
      <c r="I362" s="367">
        <v>3</v>
      </c>
      <c r="J362" s="342">
        <v>0.5</v>
      </c>
      <c r="K362" s="357">
        <f t="shared" si="117"/>
        <v>1.1666666666666667</v>
      </c>
    </row>
    <row r="363" spans="1:11" x14ac:dyDescent="0.2">
      <c r="B363" s="358"/>
      <c r="C363" s="358"/>
      <c r="D363" s="359">
        <v>61</v>
      </c>
      <c r="E363" s="360">
        <v>25.9</v>
      </c>
      <c r="F363" s="361">
        <f t="shared" si="114"/>
        <v>128.21782178217822</v>
      </c>
      <c r="G363" s="361">
        <f t="shared" si="115"/>
        <v>-28.21782178217822</v>
      </c>
      <c r="H363" s="362">
        <f t="shared" si="116"/>
        <v>0</v>
      </c>
      <c r="I363" s="367">
        <v>4</v>
      </c>
      <c r="J363" s="342">
        <v>1</v>
      </c>
      <c r="K363" s="357">
        <f t="shared" si="117"/>
        <v>1.6666666666666667</v>
      </c>
    </row>
    <row r="364" spans="1:11" ht="17" thickBot="1" x14ac:dyDescent="0.25">
      <c r="B364" s="369"/>
      <c r="C364" s="369"/>
      <c r="D364" s="370">
        <v>64</v>
      </c>
      <c r="E364" s="371">
        <v>24.7</v>
      </c>
      <c r="F364" s="372">
        <f t="shared" si="114"/>
        <v>122.27722772277228</v>
      </c>
      <c r="G364" s="372">
        <f t="shared" si="115"/>
        <v>-22.277227722772281</v>
      </c>
      <c r="H364" s="373">
        <f t="shared" si="116"/>
        <v>0</v>
      </c>
      <c r="I364" s="437">
        <v>3.5</v>
      </c>
      <c r="J364" s="438">
        <v>0</v>
      </c>
      <c r="K364" s="374">
        <f t="shared" si="117"/>
        <v>1.1666666666666667</v>
      </c>
    </row>
    <row r="365" spans="1:11" x14ac:dyDescent="0.2">
      <c r="A365" s="123" t="s">
        <v>39</v>
      </c>
      <c r="B365" s="337" t="s">
        <v>1</v>
      </c>
      <c r="C365" s="337" t="s">
        <v>36</v>
      </c>
      <c r="D365" s="493">
        <v>1</v>
      </c>
      <c r="E365" s="339">
        <v>18.3</v>
      </c>
      <c r="F365" s="340">
        <v>100</v>
      </c>
      <c r="G365" s="340">
        <f t="shared" ref="G365:G376" si="118">100-F365</f>
        <v>0</v>
      </c>
      <c r="H365" s="341">
        <f t="shared" ref="H365:H376" si="119">IF(G365&lt;=1, 0, IF(AND(G365&gt;1, G365&lt;=5), 1, IF(AND(G365&gt;5, G365&lt;=10), 2, IF(AND(G365&gt;10, G365&lt;=15), 3, 4))))</f>
        <v>0</v>
      </c>
      <c r="I365" s="342">
        <v>1</v>
      </c>
      <c r="J365" s="342">
        <v>0</v>
      </c>
      <c r="K365" s="341">
        <f t="shared" ref="K365:K376" si="120">AVERAGE(H365:J365)</f>
        <v>0.33333333333333331</v>
      </c>
    </row>
    <row r="366" spans="1:11" x14ac:dyDescent="0.2">
      <c r="B366" s="343"/>
      <c r="C366" s="343"/>
      <c r="D366" s="344">
        <v>3</v>
      </c>
      <c r="E366" s="345">
        <v>16.2</v>
      </c>
      <c r="F366" s="346">
        <f t="shared" ref="F366:F376" si="121">E366/$E$365*100</f>
        <v>88.52459016393442</v>
      </c>
      <c r="G366" s="346">
        <f t="shared" si="118"/>
        <v>11.47540983606558</v>
      </c>
      <c r="H366" s="347">
        <f t="shared" si="119"/>
        <v>3</v>
      </c>
      <c r="I366" s="348">
        <v>2</v>
      </c>
      <c r="J366" s="342">
        <v>0</v>
      </c>
      <c r="K366" s="347">
        <f t="shared" si="120"/>
        <v>1.6666666666666667</v>
      </c>
    </row>
    <row r="367" spans="1:11" x14ac:dyDescent="0.2">
      <c r="B367" s="343"/>
      <c r="C367" s="343"/>
      <c r="D367" s="344">
        <v>5</v>
      </c>
      <c r="E367" s="345">
        <v>17.100000000000001</v>
      </c>
      <c r="F367" s="346">
        <f t="shared" si="121"/>
        <v>93.442622950819683</v>
      </c>
      <c r="G367" s="346">
        <f t="shared" si="118"/>
        <v>6.5573770491803174</v>
      </c>
      <c r="H367" s="347">
        <f t="shared" si="119"/>
        <v>2</v>
      </c>
      <c r="I367" s="348">
        <v>1.5</v>
      </c>
      <c r="J367" s="342">
        <v>0</v>
      </c>
      <c r="K367" s="347">
        <f t="shared" si="120"/>
        <v>1.1666666666666667</v>
      </c>
    </row>
    <row r="368" spans="1:11" x14ac:dyDescent="0.2">
      <c r="B368" s="343"/>
      <c r="C368" s="343"/>
      <c r="D368" s="344">
        <v>8</v>
      </c>
      <c r="E368" s="349">
        <v>17.399999999999999</v>
      </c>
      <c r="F368" s="346">
        <f t="shared" si="121"/>
        <v>95.081967213114737</v>
      </c>
      <c r="G368" s="346">
        <f t="shared" si="118"/>
        <v>4.9180327868852629</v>
      </c>
      <c r="H368" s="347">
        <f t="shared" si="119"/>
        <v>1</v>
      </c>
      <c r="I368" s="348">
        <v>1.5</v>
      </c>
      <c r="J368" s="342">
        <v>0</v>
      </c>
      <c r="K368" s="347">
        <f t="shared" si="120"/>
        <v>0.83333333333333337</v>
      </c>
    </row>
    <row r="369" spans="2:11" x14ac:dyDescent="0.2">
      <c r="B369" s="343"/>
      <c r="C369" s="343"/>
      <c r="D369" s="344">
        <v>10</v>
      </c>
      <c r="E369" s="349">
        <v>18.3</v>
      </c>
      <c r="F369" s="346">
        <f t="shared" si="121"/>
        <v>100</v>
      </c>
      <c r="G369" s="346">
        <f t="shared" si="118"/>
        <v>0</v>
      </c>
      <c r="H369" s="347">
        <f t="shared" si="119"/>
        <v>0</v>
      </c>
      <c r="I369" s="348">
        <v>2</v>
      </c>
      <c r="J369" s="342">
        <v>0</v>
      </c>
      <c r="K369" s="347">
        <f t="shared" si="120"/>
        <v>0.66666666666666663</v>
      </c>
    </row>
    <row r="370" spans="2:11" x14ac:dyDescent="0.2">
      <c r="B370" s="343"/>
      <c r="C370" s="343"/>
      <c r="D370" s="344">
        <v>12</v>
      </c>
      <c r="E370" s="349">
        <v>18.5</v>
      </c>
      <c r="F370" s="346">
        <f t="shared" si="121"/>
        <v>101.09289617486338</v>
      </c>
      <c r="G370" s="346">
        <f t="shared" si="118"/>
        <v>-1.0928961748633839</v>
      </c>
      <c r="H370" s="347">
        <f t="shared" si="119"/>
        <v>0</v>
      </c>
      <c r="I370" s="348">
        <v>2.5</v>
      </c>
      <c r="J370" s="342">
        <v>0</v>
      </c>
      <c r="K370" s="347">
        <f t="shared" si="120"/>
        <v>0.83333333333333337</v>
      </c>
    </row>
    <row r="371" spans="2:11" x14ac:dyDescent="0.2">
      <c r="B371" s="350"/>
      <c r="C371" s="350" t="s">
        <v>13</v>
      </c>
      <c r="D371" s="351">
        <v>15</v>
      </c>
      <c r="E371" s="349">
        <v>20.8</v>
      </c>
      <c r="F371" s="346">
        <f t="shared" si="121"/>
        <v>113.66120218579235</v>
      </c>
      <c r="G371" s="352">
        <f t="shared" si="118"/>
        <v>-13.661202185792348</v>
      </c>
      <c r="H371" s="353">
        <f t="shared" si="119"/>
        <v>0</v>
      </c>
      <c r="I371" s="354">
        <v>4</v>
      </c>
      <c r="J371" s="342">
        <v>0</v>
      </c>
      <c r="K371" s="347">
        <f t="shared" si="120"/>
        <v>1.3333333333333333</v>
      </c>
    </row>
    <row r="372" spans="2:11" x14ac:dyDescent="0.2">
      <c r="B372" s="343"/>
      <c r="C372" s="343" t="s">
        <v>11</v>
      </c>
      <c r="D372" s="344">
        <v>17</v>
      </c>
      <c r="E372" s="355">
        <v>20.9</v>
      </c>
      <c r="F372" s="346">
        <f t="shared" si="121"/>
        <v>114.20765027322403</v>
      </c>
      <c r="G372" s="346">
        <f t="shared" si="118"/>
        <v>-14.207650273224033</v>
      </c>
      <c r="H372" s="347">
        <f t="shared" si="119"/>
        <v>0</v>
      </c>
      <c r="I372" s="348">
        <v>3</v>
      </c>
      <c r="J372" s="342">
        <v>0</v>
      </c>
      <c r="K372" s="356">
        <f t="shared" si="120"/>
        <v>1</v>
      </c>
    </row>
    <row r="373" spans="2:11" x14ac:dyDescent="0.2">
      <c r="B373" s="343"/>
      <c r="C373" s="343"/>
      <c r="D373" s="344">
        <v>19</v>
      </c>
      <c r="E373" s="355">
        <v>20.2</v>
      </c>
      <c r="F373" s="346">
        <f t="shared" si="121"/>
        <v>110.38251366120218</v>
      </c>
      <c r="G373" s="346">
        <f t="shared" si="118"/>
        <v>-10.382513661202182</v>
      </c>
      <c r="H373" s="347">
        <f t="shared" si="119"/>
        <v>0</v>
      </c>
      <c r="I373" s="348">
        <v>4</v>
      </c>
      <c r="J373" s="342">
        <v>1</v>
      </c>
      <c r="K373" s="357">
        <f t="shared" si="120"/>
        <v>1.6666666666666667</v>
      </c>
    </row>
    <row r="374" spans="2:11" x14ac:dyDescent="0.2">
      <c r="B374" s="343"/>
      <c r="C374" s="343"/>
      <c r="D374" s="344">
        <v>22</v>
      </c>
      <c r="E374" s="355">
        <v>21.1</v>
      </c>
      <c r="F374" s="346">
        <f t="shared" si="121"/>
        <v>115.30054644808743</v>
      </c>
      <c r="G374" s="346">
        <f t="shared" si="118"/>
        <v>-15.300546448087431</v>
      </c>
      <c r="H374" s="347">
        <f t="shared" si="119"/>
        <v>0</v>
      </c>
      <c r="I374" s="348">
        <v>3</v>
      </c>
      <c r="J374" s="342">
        <v>1</v>
      </c>
      <c r="K374" s="357">
        <f t="shared" si="120"/>
        <v>1.3333333333333333</v>
      </c>
    </row>
    <row r="375" spans="2:11" x14ac:dyDescent="0.2">
      <c r="B375" s="343"/>
      <c r="C375" s="343"/>
      <c r="D375" s="344">
        <v>24</v>
      </c>
      <c r="E375" s="391">
        <v>21</v>
      </c>
      <c r="F375" s="346">
        <f t="shared" si="121"/>
        <v>114.75409836065573</v>
      </c>
      <c r="G375" s="346">
        <f t="shared" si="118"/>
        <v>-14.754098360655732</v>
      </c>
      <c r="H375" s="347">
        <f t="shared" si="119"/>
        <v>0</v>
      </c>
      <c r="I375" s="348">
        <v>2</v>
      </c>
      <c r="J375" s="342">
        <v>0.5</v>
      </c>
      <c r="K375" s="357">
        <f t="shared" si="120"/>
        <v>0.83333333333333337</v>
      </c>
    </row>
    <row r="376" spans="2:11" x14ac:dyDescent="0.2">
      <c r="B376" s="358"/>
      <c r="C376" s="358"/>
      <c r="D376" s="359">
        <v>26</v>
      </c>
      <c r="E376" s="360">
        <v>21.5</v>
      </c>
      <c r="F376" s="346">
        <f t="shared" si="121"/>
        <v>117.4863387978142</v>
      </c>
      <c r="G376" s="361">
        <f t="shared" si="118"/>
        <v>-17.486338797814199</v>
      </c>
      <c r="H376" s="362">
        <f t="shared" si="119"/>
        <v>0</v>
      </c>
      <c r="I376" s="363">
        <v>2</v>
      </c>
      <c r="J376" s="342">
        <v>0.5</v>
      </c>
      <c r="K376" s="357">
        <f t="shared" si="120"/>
        <v>0.83333333333333337</v>
      </c>
    </row>
    <row r="377" spans="2:11" x14ac:dyDescent="0.2">
      <c r="B377" s="358"/>
      <c r="C377" s="358"/>
      <c r="D377" s="359">
        <v>29</v>
      </c>
      <c r="E377" s="360">
        <v>23.1</v>
      </c>
      <c r="F377" s="346">
        <f t="shared" ref="F377:F392" si="122">E377/$E$365*100</f>
        <v>126.22950819672131</v>
      </c>
      <c r="G377" s="361">
        <f t="shared" ref="G377:G392" si="123">100-F377</f>
        <v>-26.229508196721312</v>
      </c>
      <c r="H377" s="362">
        <f t="shared" ref="H377:H392" si="124">IF(G377&lt;=1, 0, IF(AND(G377&gt;1, G377&lt;=5), 1, IF(AND(G377&gt;5, G377&lt;=10), 2, IF(AND(G377&gt;10, G377&lt;=15), 3, 4))))</f>
        <v>0</v>
      </c>
      <c r="I377" s="363">
        <v>0.5</v>
      </c>
      <c r="J377" s="342">
        <v>0</v>
      </c>
      <c r="K377" s="357">
        <f t="shared" ref="K377:K392" si="125">AVERAGE(H377:J377)</f>
        <v>0.16666666666666666</v>
      </c>
    </row>
    <row r="378" spans="2:11" x14ac:dyDescent="0.2">
      <c r="B378" s="337"/>
      <c r="C378" s="337" t="s">
        <v>30</v>
      </c>
      <c r="D378" s="338">
        <v>31</v>
      </c>
      <c r="E378" s="364">
        <v>23.8</v>
      </c>
      <c r="F378" s="346">
        <f t="shared" si="122"/>
        <v>130.05464480874315</v>
      </c>
      <c r="G378" s="340">
        <f t="shared" si="123"/>
        <v>-30.054644808743149</v>
      </c>
      <c r="H378" s="341">
        <f t="shared" si="124"/>
        <v>0</v>
      </c>
      <c r="I378" s="342">
        <v>0.5</v>
      </c>
      <c r="J378" s="342">
        <v>0</v>
      </c>
      <c r="K378" s="357">
        <f t="shared" si="125"/>
        <v>0.16666666666666666</v>
      </c>
    </row>
    <row r="379" spans="2:11" x14ac:dyDescent="0.2">
      <c r="B379" s="343"/>
      <c r="C379" s="343"/>
      <c r="D379" s="344">
        <v>33</v>
      </c>
      <c r="E379" s="397">
        <v>24.2</v>
      </c>
      <c r="F379" s="346">
        <f t="shared" si="122"/>
        <v>132.24043715846994</v>
      </c>
      <c r="G379" s="346">
        <f t="shared" si="123"/>
        <v>-32.240437158469945</v>
      </c>
      <c r="H379" s="347">
        <f t="shared" si="124"/>
        <v>0</v>
      </c>
      <c r="I379" s="342">
        <v>1.5</v>
      </c>
      <c r="J379" s="342">
        <v>0.5</v>
      </c>
      <c r="K379" s="357">
        <f t="shared" si="125"/>
        <v>0.66666666666666663</v>
      </c>
    </row>
    <row r="380" spans="2:11" x14ac:dyDescent="0.2">
      <c r="B380" s="343"/>
      <c r="C380" s="343" t="s">
        <v>31</v>
      </c>
      <c r="D380" s="344">
        <v>36</v>
      </c>
      <c r="E380" s="355">
        <v>23.8</v>
      </c>
      <c r="F380" s="346">
        <f t="shared" si="122"/>
        <v>130.05464480874315</v>
      </c>
      <c r="G380" s="346">
        <f t="shared" si="123"/>
        <v>-30.054644808743149</v>
      </c>
      <c r="H380" s="347">
        <f t="shared" si="124"/>
        <v>0</v>
      </c>
      <c r="I380" s="342">
        <v>3</v>
      </c>
      <c r="J380" s="342">
        <v>0.5</v>
      </c>
      <c r="K380" s="365">
        <f t="shared" si="125"/>
        <v>1.1666666666666667</v>
      </c>
    </row>
    <row r="381" spans="2:11" x14ac:dyDescent="0.2">
      <c r="B381" s="343"/>
      <c r="C381" s="343"/>
      <c r="D381" s="344">
        <v>38</v>
      </c>
      <c r="E381" s="355">
        <v>22.2</v>
      </c>
      <c r="F381" s="346">
        <f t="shared" si="122"/>
        <v>121.31147540983606</v>
      </c>
      <c r="G381" s="346">
        <f t="shared" si="123"/>
        <v>-21.311475409836063</v>
      </c>
      <c r="H381" s="347">
        <f t="shared" si="124"/>
        <v>0</v>
      </c>
      <c r="I381" s="342"/>
      <c r="J381" s="342"/>
      <c r="K381" s="357"/>
    </row>
    <row r="382" spans="2:11" x14ac:dyDescent="0.2">
      <c r="B382" s="343"/>
      <c r="C382" s="343"/>
      <c r="D382" s="344">
        <v>40</v>
      </c>
      <c r="E382" s="391">
        <v>22</v>
      </c>
      <c r="F382" s="346">
        <f t="shared" si="122"/>
        <v>120.21857923497268</v>
      </c>
      <c r="G382" s="346">
        <f t="shared" si="123"/>
        <v>-20.21857923497268</v>
      </c>
      <c r="H382" s="347">
        <f t="shared" si="124"/>
        <v>0</v>
      </c>
      <c r="I382" s="342">
        <v>3</v>
      </c>
      <c r="J382" s="342">
        <v>0</v>
      </c>
      <c r="K382" s="365">
        <f t="shared" si="125"/>
        <v>1</v>
      </c>
    </row>
    <row r="383" spans="2:11" x14ac:dyDescent="0.2">
      <c r="B383" s="343"/>
      <c r="C383" s="343" t="s">
        <v>30</v>
      </c>
      <c r="D383" s="344">
        <v>43</v>
      </c>
      <c r="E383" s="355">
        <v>22.8</v>
      </c>
      <c r="F383" s="346">
        <f t="shared" si="122"/>
        <v>124.59016393442623</v>
      </c>
      <c r="G383" s="346">
        <f t="shared" si="123"/>
        <v>-24.590163934426229</v>
      </c>
      <c r="H383" s="347">
        <f t="shared" si="124"/>
        <v>0</v>
      </c>
      <c r="I383" s="342">
        <v>2.5</v>
      </c>
      <c r="J383" s="342">
        <v>0</v>
      </c>
      <c r="K383" s="357">
        <f t="shared" si="125"/>
        <v>0.83333333333333337</v>
      </c>
    </row>
    <row r="384" spans="2:11" x14ac:dyDescent="0.2">
      <c r="B384" s="343"/>
      <c r="C384" s="343"/>
      <c r="D384" s="344">
        <v>45</v>
      </c>
      <c r="E384" s="355">
        <v>23.4</v>
      </c>
      <c r="F384" s="346">
        <f t="shared" si="122"/>
        <v>127.86885245901638</v>
      </c>
      <c r="G384" s="346">
        <f t="shared" si="123"/>
        <v>-27.868852459016381</v>
      </c>
      <c r="H384" s="347">
        <f t="shared" si="124"/>
        <v>0</v>
      </c>
      <c r="I384" s="342">
        <v>3</v>
      </c>
      <c r="J384" s="342">
        <v>0.5</v>
      </c>
      <c r="K384" s="357">
        <f t="shared" si="125"/>
        <v>1.1666666666666667</v>
      </c>
    </row>
    <row r="385" spans="1:11" x14ac:dyDescent="0.2">
      <c r="B385" s="358"/>
      <c r="C385" s="358"/>
      <c r="D385" s="359">
        <v>47</v>
      </c>
      <c r="E385" s="360">
        <v>23.1</v>
      </c>
      <c r="F385" s="361">
        <f t="shared" si="122"/>
        <v>126.22950819672131</v>
      </c>
      <c r="G385" s="361">
        <f t="shared" si="123"/>
        <v>-26.229508196721312</v>
      </c>
      <c r="H385" s="362">
        <f t="shared" si="124"/>
        <v>0</v>
      </c>
      <c r="I385" s="366">
        <v>3</v>
      </c>
      <c r="J385" s="342">
        <v>0.5</v>
      </c>
      <c r="K385" s="357">
        <f t="shared" si="125"/>
        <v>1.1666666666666667</v>
      </c>
    </row>
    <row r="386" spans="1:11" x14ac:dyDescent="0.2">
      <c r="B386" s="358"/>
      <c r="C386" s="358" t="s">
        <v>31</v>
      </c>
      <c r="D386" s="359">
        <v>50</v>
      </c>
      <c r="E386" s="360">
        <v>22.3</v>
      </c>
      <c r="F386" s="346">
        <f t="shared" si="122"/>
        <v>121.85792349726776</v>
      </c>
      <c r="G386" s="346">
        <f t="shared" si="123"/>
        <v>-21.857923497267763</v>
      </c>
      <c r="H386" s="347">
        <f t="shared" si="124"/>
        <v>0</v>
      </c>
      <c r="I386" s="367">
        <v>4</v>
      </c>
      <c r="J386" s="342">
        <v>1</v>
      </c>
      <c r="K386" s="357">
        <f t="shared" si="125"/>
        <v>1.6666666666666667</v>
      </c>
    </row>
    <row r="387" spans="1:11" x14ac:dyDescent="0.2">
      <c r="B387" s="358"/>
      <c r="C387" s="358"/>
      <c r="D387" s="359">
        <v>52</v>
      </c>
      <c r="E387" s="360">
        <v>21.6</v>
      </c>
      <c r="F387" s="361">
        <f t="shared" si="122"/>
        <v>118.0327868852459</v>
      </c>
      <c r="G387" s="361">
        <f t="shared" si="123"/>
        <v>-18.032786885245898</v>
      </c>
      <c r="H387" s="362">
        <f t="shared" si="124"/>
        <v>0</v>
      </c>
      <c r="I387" s="367">
        <v>4</v>
      </c>
      <c r="J387" s="342">
        <v>0</v>
      </c>
      <c r="K387" s="357">
        <f t="shared" si="125"/>
        <v>1.3333333333333333</v>
      </c>
    </row>
    <row r="388" spans="1:11" x14ac:dyDescent="0.2">
      <c r="B388" s="358"/>
      <c r="C388" s="358"/>
      <c r="D388" s="359">
        <v>54</v>
      </c>
      <c r="E388" s="360">
        <v>22.7</v>
      </c>
      <c r="F388" s="361">
        <f t="shared" si="122"/>
        <v>124.04371584699452</v>
      </c>
      <c r="G388" s="361">
        <f t="shared" si="123"/>
        <v>-24.043715846994516</v>
      </c>
      <c r="H388" s="362">
        <f t="shared" si="124"/>
        <v>0</v>
      </c>
      <c r="I388" s="367">
        <v>2.5</v>
      </c>
      <c r="J388" s="342">
        <v>0</v>
      </c>
      <c r="K388" s="357">
        <f t="shared" si="125"/>
        <v>0.83333333333333337</v>
      </c>
    </row>
    <row r="389" spans="1:11" x14ac:dyDescent="0.2">
      <c r="B389" s="358"/>
      <c r="C389" s="358" t="s">
        <v>30</v>
      </c>
      <c r="D389" s="359">
        <v>57</v>
      </c>
      <c r="E389" s="453">
        <v>23</v>
      </c>
      <c r="F389" s="361">
        <f t="shared" si="122"/>
        <v>125.6830601092896</v>
      </c>
      <c r="G389" s="361">
        <f t="shared" si="123"/>
        <v>-25.683060109289599</v>
      </c>
      <c r="H389" s="362">
        <f t="shared" si="124"/>
        <v>0</v>
      </c>
      <c r="I389" s="367">
        <v>3</v>
      </c>
      <c r="J389" s="342">
        <v>0</v>
      </c>
      <c r="K389" s="357">
        <f t="shared" si="125"/>
        <v>1</v>
      </c>
    </row>
    <row r="390" spans="1:11" x14ac:dyDescent="0.2">
      <c r="B390" s="358"/>
      <c r="C390" s="358"/>
      <c r="D390" s="359">
        <v>59</v>
      </c>
      <c r="E390" s="360">
        <v>24.1</v>
      </c>
      <c r="F390" s="361">
        <f t="shared" si="122"/>
        <v>131.69398907103826</v>
      </c>
      <c r="G390" s="361">
        <f t="shared" si="123"/>
        <v>-31.69398907103826</v>
      </c>
      <c r="H390" s="362">
        <f t="shared" si="124"/>
        <v>0</v>
      </c>
      <c r="I390" s="367">
        <v>3</v>
      </c>
      <c r="J390" s="342">
        <v>0.5</v>
      </c>
      <c r="K390" s="357">
        <f t="shared" si="125"/>
        <v>1.1666666666666667</v>
      </c>
    </row>
    <row r="391" spans="1:11" x14ac:dyDescent="0.2">
      <c r="B391" s="358"/>
      <c r="C391" s="358"/>
      <c r="D391" s="359">
        <v>61</v>
      </c>
      <c r="E391" s="360">
        <v>23.7</v>
      </c>
      <c r="F391" s="361">
        <f t="shared" si="122"/>
        <v>129.50819672131146</v>
      </c>
      <c r="G391" s="361">
        <f t="shared" si="123"/>
        <v>-29.508196721311464</v>
      </c>
      <c r="H391" s="362">
        <f t="shared" si="124"/>
        <v>0</v>
      </c>
      <c r="I391" s="367">
        <v>3.5</v>
      </c>
      <c r="J391" s="342">
        <v>1</v>
      </c>
      <c r="K391" s="357">
        <f t="shared" si="125"/>
        <v>1.5</v>
      </c>
    </row>
    <row r="392" spans="1:11" ht="17" thickBot="1" x14ac:dyDescent="0.25">
      <c r="B392" s="369"/>
      <c r="C392" s="369"/>
      <c r="D392" s="370">
        <v>64</v>
      </c>
      <c r="E392" s="371">
        <v>23.9</v>
      </c>
      <c r="F392" s="372">
        <f t="shared" si="122"/>
        <v>130.60109289617486</v>
      </c>
      <c r="G392" s="372">
        <f t="shared" si="123"/>
        <v>-30.601092896174862</v>
      </c>
      <c r="H392" s="373">
        <f t="shared" si="124"/>
        <v>0</v>
      </c>
      <c r="I392" s="437">
        <v>3.5</v>
      </c>
      <c r="J392" s="438">
        <v>0.5</v>
      </c>
      <c r="K392" s="374">
        <f t="shared" si="125"/>
        <v>1.3333333333333333</v>
      </c>
    </row>
    <row r="393" spans="1:11" x14ac:dyDescent="0.2">
      <c r="A393" s="123" t="s">
        <v>39</v>
      </c>
      <c r="B393" s="375" t="s">
        <v>2</v>
      </c>
      <c r="C393" s="376" t="s">
        <v>36</v>
      </c>
      <c r="D393" s="493">
        <v>1</v>
      </c>
      <c r="E393" s="377">
        <v>19.100000000000001</v>
      </c>
      <c r="F393" s="387">
        <v>100</v>
      </c>
      <c r="G393" s="378">
        <f t="shared" ref="G393:G402" si="126">100-F393</f>
        <v>0</v>
      </c>
      <c r="H393" s="379">
        <f t="shared" ref="H393:H404" si="127">IF(G393&lt;=1, 0, IF(AND(G393&gt;1, G393&lt;=5), 1, IF(AND(G393&gt;5, G393&lt;=10), 2, IF(AND(G393&gt;10, G393&lt;=15), 3, 4))))</f>
        <v>0</v>
      </c>
      <c r="I393" s="368">
        <v>1</v>
      </c>
      <c r="J393" s="368">
        <v>0</v>
      </c>
      <c r="K393" s="341">
        <f t="shared" ref="K393:K404" si="128">AVERAGE(H393:J393)</f>
        <v>0.33333333333333331</v>
      </c>
    </row>
    <row r="394" spans="1:11" x14ac:dyDescent="0.2">
      <c r="B394" s="380"/>
      <c r="C394" s="380"/>
      <c r="D394" s="344">
        <v>3</v>
      </c>
      <c r="E394" s="381">
        <v>17.2</v>
      </c>
      <c r="F394" s="388">
        <f t="shared" ref="F394:F402" si="129">E394/$E$393*100</f>
        <v>90.052356020942398</v>
      </c>
      <c r="G394" s="382">
        <f t="shared" si="126"/>
        <v>9.9476439790576023</v>
      </c>
      <c r="H394" s="383">
        <f t="shared" si="127"/>
        <v>2</v>
      </c>
      <c r="I394" s="384">
        <v>2.5</v>
      </c>
      <c r="J394" s="384">
        <v>0</v>
      </c>
      <c r="K394" s="341">
        <f t="shared" si="128"/>
        <v>1.5</v>
      </c>
    </row>
    <row r="395" spans="1:11" x14ac:dyDescent="0.2">
      <c r="B395" s="380"/>
      <c r="C395" s="380"/>
      <c r="D395" s="344">
        <v>5</v>
      </c>
      <c r="E395" s="381">
        <v>18.2</v>
      </c>
      <c r="F395" s="388">
        <f t="shared" si="129"/>
        <v>95.28795811518323</v>
      </c>
      <c r="G395" s="382">
        <f t="shared" si="126"/>
        <v>4.7120418848167702</v>
      </c>
      <c r="H395" s="383">
        <f t="shared" si="127"/>
        <v>1</v>
      </c>
      <c r="I395" s="384">
        <v>1</v>
      </c>
      <c r="J395" s="384">
        <v>0.5</v>
      </c>
      <c r="K395" s="341">
        <f t="shared" si="128"/>
        <v>0.83333333333333337</v>
      </c>
    </row>
    <row r="396" spans="1:11" x14ac:dyDescent="0.2">
      <c r="B396" s="380"/>
      <c r="C396" s="380"/>
      <c r="D396" s="344">
        <v>8</v>
      </c>
      <c r="E396" s="381">
        <v>20.2</v>
      </c>
      <c r="F396" s="388">
        <f t="shared" si="129"/>
        <v>105.75916230366491</v>
      </c>
      <c r="G396" s="382">
        <f t="shared" si="126"/>
        <v>-5.7591623036649082</v>
      </c>
      <c r="H396" s="383">
        <f t="shared" si="127"/>
        <v>0</v>
      </c>
      <c r="I396" s="384">
        <v>2</v>
      </c>
      <c r="J396" s="384">
        <v>0</v>
      </c>
      <c r="K396" s="341">
        <f t="shared" si="128"/>
        <v>0.66666666666666663</v>
      </c>
    </row>
    <row r="397" spans="1:11" x14ac:dyDescent="0.2">
      <c r="B397" s="380"/>
      <c r="C397" s="380"/>
      <c r="D397" s="344">
        <v>10</v>
      </c>
      <c r="E397" s="381">
        <v>21.5</v>
      </c>
      <c r="F397" s="388">
        <f t="shared" si="129"/>
        <v>112.565445026178</v>
      </c>
      <c r="G397" s="382">
        <f t="shared" si="126"/>
        <v>-12.565445026177997</v>
      </c>
      <c r="H397" s="383">
        <f t="shared" si="127"/>
        <v>0</v>
      </c>
      <c r="I397" s="384">
        <v>2.5</v>
      </c>
      <c r="J397" s="384">
        <v>0</v>
      </c>
      <c r="K397" s="341">
        <f t="shared" si="128"/>
        <v>0.83333333333333337</v>
      </c>
    </row>
    <row r="398" spans="1:11" x14ac:dyDescent="0.2">
      <c r="B398" s="380"/>
      <c r="C398" s="380"/>
      <c r="D398" s="344">
        <v>12</v>
      </c>
      <c r="E398" s="381">
        <v>22.7</v>
      </c>
      <c r="F398" s="388">
        <f t="shared" si="129"/>
        <v>118.84816753926701</v>
      </c>
      <c r="G398" s="382">
        <f t="shared" si="126"/>
        <v>-18.84816753926701</v>
      </c>
      <c r="H398" s="383">
        <f t="shared" si="127"/>
        <v>0</v>
      </c>
      <c r="I398" s="384">
        <v>2</v>
      </c>
      <c r="J398" s="384">
        <v>0</v>
      </c>
      <c r="K398" s="341">
        <f t="shared" si="128"/>
        <v>0.66666666666666663</v>
      </c>
    </row>
    <row r="399" spans="1:11" x14ac:dyDescent="0.2">
      <c r="B399" s="380"/>
      <c r="C399" s="385" t="s">
        <v>13</v>
      </c>
      <c r="D399" s="351">
        <v>15</v>
      </c>
      <c r="E399" s="381">
        <v>23.2</v>
      </c>
      <c r="F399" s="388">
        <f t="shared" si="129"/>
        <v>121.46596858638743</v>
      </c>
      <c r="G399" s="382">
        <f t="shared" si="126"/>
        <v>-21.465968586387433</v>
      </c>
      <c r="H399" s="383">
        <f t="shared" si="127"/>
        <v>0</v>
      </c>
      <c r="I399" s="384">
        <v>3</v>
      </c>
      <c r="J399" s="384">
        <v>1</v>
      </c>
      <c r="K399" s="341">
        <f t="shared" si="128"/>
        <v>1.3333333333333333</v>
      </c>
    </row>
    <row r="400" spans="1:11" x14ac:dyDescent="0.2">
      <c r="B400" s="380"/>
      <c r="C400" s="380" t="s">
        <v>11</v>
      </c>
      <c r="D400" s="344">
        <v>17</v>
      </c>
      <c r="E400" s="381">
        <v>23.5</v>
      </c>
      <c r="F400" s="388">
        <f t="shared" si="129"/>
        <v>123.03664921465966</v>
      </c>
      <c r="G400" s="382">
        <f t="shared" si="126"/>
        <v>-23.036649214659661</v>
      </c>
      <c r="H400" s="383">
        <f t="shared" si="127"/>
        <v>0</v>
      </c>
      <c r="I400" s="384">
        <v>2.5</v>
      </c>
      <c r="J400" s="384">
        <v>0</v>
      </c>
      <c r="K400" s="341">
        <f t="shared" si="128"/>
        <v>0.83333333333333337</v>
      </c>
    </row>
    <row r="401" spans="1:11" x14ac:dyDescent="0.2">
      <c r="B401" s="380"/>
      <c r="C401" s="380"/>
      <c r="D401" s="344">
        <v>19</v>
      </c>
      <c r="E401" s="381">
        <v>21.6</v>
      </c>
      <c r="F401" s="388">
        <f t="shared" si="129"/>
        <v>113.0890052356021</v>
      </c>
      <c r="G401" s="382">
        <f>100-F401</f>
        <v>-13.089005235602102</v>
      </c>
      <c r="H401" s="383">
        <f t="shared" si="127"/>
        <v>0</v>
      </c>
      <c r="I401" s="384">
        <v>4</v>
      </c>
      <c r="J401" s="384">
        <v>0</v>
      </c>
      <c r="K401" s="341">
        <f t="shared" si="128"/>
        <v>1.3333333333333333</v>
      </c>
    </row>
    <row r="402" spans="1:11" x14ac:dyDescent="0.2">
      <c r="A402" s="122"/>
      <c r="B402" s="380"/>
      <c r="C402" s="380"/>
      <c r="D402" s="344">
        <v>22</v>
      </c>
      <c r="E402" s="381">
        <v>22.5</v>
      </c>
      <c r="F402" s="388">
        <f t="shared" si="129"/>
        <v>117.80104712041883</v>
      </c>
      <c r="G402" s="382">
        <f t="shared" si="126"/>
        <v>-17.801047120418829</v>
      </c>
      <c r="H402" s="383">
        <f t="shared" si="127"/>
        <v>0</v>
      </c>
      <c r="I402" s="384">
        <v>3</v>
      </c>
      <c r="J402" s="384">
        <v>1</v>
      </c>
      <c r="K402" s="341">
        <f t="shared" si="128"/>
        <v>1.3333333333333333</v>
      </c>
    </row>
    <row r="403" spans="1:11" x14ac:dyDescent="0.2">
      <c r="A403" s="122"/>
      <c r="B403" s="380"/>
      <c r="C403" s="380"/>
      <c r="D403" s="344">
        <v>24</v>
      </c>
      <c r="E403" s="381">
        <v>22.1</v>
      </c>
      <c r="F403" s="388">
        <f t="shared" ref="F403:F420" si="130">E403/$E$393*100</f>
        <v>115.70680628272252</v>
      </c>
      <c r="G403" s="382">
        <f t="shared" ref="G403:G420" si="131">100-F403</f>
        <v>-15.706806282722525</v>
      </c>
      <c r="H403" s="383">
        <f t="shared" si="127"/>
        <v>0</v>
      </c>
      <c r="I403" s="384">
        <v>1.5</v>
      </c>
      <c r="J403" s="384">
        <v>0</v>
      </c>
      <c r="K403" s="341">
        <f t="shared" si="128"/>
        <v>0.5</v>
      </c>
    </row>
    <row r="404" spans="1:11" x14ac:dyDescent="0.2">
      <c r="A404" s="122"/>
      <c r="B404" s="380"/>
      <c r="C404" s="380"/>
      <c r="D404" s="359">
        <v>26</v>
      </c>
      <c r="E404" s="381">
        <v>22.3</v>
      </c>
      <c r="F404" s="388">
        <f t="shared" si="130"/>
        <v>116.75392670157068</v>
      </c>
      <c r="G404" s="382">
        <f t="shared" si="131"/>
        <v>-16.753926701570677</v>
      </c>
      <c r="H404" s="383">
        <f t="shared" si="127"/>
        <v>0</v>
      </c>
      <c r="I404" s="384">
        <v>2</v>
      </c>
      <c r="J404" s="384">
        <v>0</v>
      </c>
      <c r="K404" s="341">
        <f t="shared" si="128"/>
        <v>0.66666666666666663</v>
      </c>
    </row>
    <row r="405" spans="1:11" x14ac:dyDescent="0.2">
      <c r="A405" s="122"/>
      <c r="B405" s="380"/>
      <c r="C405" s="380"/>
      <c r="D405" s="359">
        <v>29</v>
      </c>
      <c r="E405" s="381">
        <v>21.7</v>
      </c>
      <c r="F405" s="388">
        <f t="shared" si="130"/>
        <v>113.61256544502616</v>
      </c>
      <c r="G405" s="382">
        <f t="shared" si="131"/>
        <v>-13.612565445026164</v>
      </c>
      <c r="H405" s="383">
        <f t="shared" ref="H405:H420" si="132">IF(G405&lt;=1, 0, IF(AND(G405&gt;1, G405&lt;=5), 1, IF(AND(G405&gt;5, G405&lt;=10), 2, IF(AND(G405&gt;10, G405&lt;=15), 3, 4))))</f>
        <v>0</v>
      </c>
      <c r="I405" s="384">
        <v>2</v>
      </c>
      <c r="J405" s="384">
        <v>0</v>
      </c>
      <c r="K405" s="341">
        <f t="shared" ref="K405:K420" si="133">AVERAGE(H405:J405)</f>
        <v>0.66666666666666663</v>
      </c>
    </row>
    <row r="406" spans="1:11" x14ac:dyDescent="0.2">
      <c r="A406" s="122"/>
      <c r="B406" s="380"/>
      <c r="C406" s="380" t="s">
        <v>30</v>
      </c>
      <c r="D406" s="338">
        <v>31</v>
      </c>
      <c r="E406" s="381">
        <v>22.2</v>
      </c>
      <c r="F406" s="388">
        <f t="shared" si="130"/>
        <v>116.23036649214657</v>
      </c>
      <c r="G406" s="382">
        <f t="shared" si="131"/>
        <v>-16.230366492146572</v>
      </c>
      <c r="H406" s="383">
        <f t="shared" si="132"/>
        <v>0</v>
      </c>
      <c r="I406" s="384">
        <v>2</v>
      </c>
      <c r="J406" s="384">
        <v>0</v>
      </c>
      <c r="K406" s="341">
        <f>AVERAGE(H406:J406)</f>
        <v>0.66666666666666663</v>
      </c>
    </row>
    <row r="407" spans="1:11" x14ac:dyDescent="0.2">
      <c r="B407" s="380"/>
      <c r="C407" s="380"/>
      <c r="D407" s="344">
        <v>33</v>
      </c>
      <c r="E407" s="381">
        <v>22.3</v>
      </c>
      <c r="F407" s="382">
        <f t="shared" si="130"/>
        <v>116.75392670157068</v>
      </c>
      <c r="G407" s="382">
        <f t="shared" si="131"/>
        <v>-16.753926701570677</v>
      </c>
      <c r="H407" s="383">
        <f t="shared" si="132"/>
        <v>0</v>
      </c>
      <c r="I407" s="384">
        <v>2</v>
      </c>
      <c r="J407" s="384">
        <v>0</v>
      </c>
      <c r="K407" s="7">
        <f t="shared" si="133"/>
        <v>0.66666666666666663</v>
      </c>
    </row>
    <row r="408" spans="1:11" x14ac:dyDescent="0.2">
      <c r="B408" s="380"/>
      <c r="C408" s="380" t="s">
        <v>31</v>
      </c>
      <c r="D408" s="344">
        <v>36</v>
      </c>
      <c r="E408" s="381">
        <v>22.3</v>
      </c>
      <c r="F408" s="382">
        <f t="shared" si="130"/>
        <v>116.75392670157068</v>
      </c>
      <c r="G408" s="382">
        <f t="shared" si="131"/>
        <v>-16.753926701570677</v>
      </c>
      <c r="H408" s="383">
        <f t="shared" si="132"/>
        <v>0</v>
      </c>
      <c r="I408" s="384">
        <v>3.5</v>
      </c>
      <c r="J408" s="384">
        <v>2</v>
      </c>
      <c r="K408" s="7">
        <f t="shared" si="133"/>
        <v>1.8333333333333333</v>
      </c>
    </row>
    <row r="409" spans="1:11" x14ac:dyDescent="0.2">
      <c r="B409" s="380"/>
      <c r="C409" s="380"/>
      <c r="D409" s="344">
        <v>38</v>
      </c>
      <c r="E409" s="381">
        <v>21.3</v>
      </c>
      <c r="F409" s="382">
        <f t="shared" si="130"/>
        <v>111.51832460732984</v>
      </c>
      <c r="G409" s="382">
        <f t="shared" si="131"/>
        <v>-11.518324607329845</v>
      </c>
      <c r="H409" s="383">
        <f t="shared" si="132"/>
        <v>0</v>
      </c>
      <c r="I409" s="384">
        <v>3</v>
      </c>
      <c r="J409" s="384">
        <v>0.5</v>
      </c>
      <c r="K409" s="7">
        <f t="shared" si="133"/>
        <v>1.1666666666666667</v>
      </c>
    </row>
    <row r="410" spans="1:11" x14ac:dyDescent="0.2">
      <c r="B410" s="380"/>
      <c r="C410" s="380"/>
      <c r="D410" s="344">
        <v>40</v>
      </c>
      <c r="E410" s="381">
        <v>21.8</v>
      </c>
      <c r="F410" s="382">
        <f t="shared" si="130"/>
        <v>114.13612565445025</v>
      </c>
      <c r="G410" s="382">
        <f t="shared" si="131"/>
        <v>-14.136125654450254</v>
      </c>
      <c r="H410" s="383">
        <f t="shared" si="132"/>
        <v>0</v>
      </c>
      <c r="I410" s="384">
        <v>4</v>
      </c>
      <c r="J410" s="384">
        <v>0.5</v>
      </c>
      <c r="K410" s="7">
        <f t="shared" si="133"/>
        <v>1.5</v>
      </c>
    </row>
    <row r="411" spans="1:11" x14ac:dyDescent="0.2">
      <c r="B411" s="380"/>
      <c r="C411" s="380" t="s">
        <v>30</v>
      </c>
      <c r="D411" s="344">
        <v>43</v>
      </c>
      <c r="E411" s="381">
        <v>21.5</v>
      </c>
      <c r="F411" s="382">
        <f t="shared" si="130"/>
        <v>112.565445026178</v>
      </c>
      <c r="G411" s="382">
        <f t="shared" si="131"/>
        <v>-12.565445026177997</v>
      </c>
      <c r="H411" s="383">
        <f t="shared" si="132"/>
        <v>0</v>
      </c>
      <c r="I411" s="384">
        <v>2.5</v>
      </c>
      <c r="J411" s="384">
        <v>0</v>
      </c>
      <c r="K411" s="7">
        <f t="shared" si="133"/>
        <v>0.83333333333333337</v>
      </c>
    </row>
    <row r="412" spans="1:11" x14ac:dyDescent="0.2">
      <c r="B412" s="380"/>
      <c r="C412" s="380"/>
      <c r="D412" s="344">
        <v>45</v>
      </c>
      <c r="E412" s="381">
        <v>23.1</v>
      </c>
      <c r="F412" s="382">
        <f t="shared" si="130"/>
        <v>120.94240837696336</v>
      </c>
      <c r="G412" s="382">
        <f t="shared" si="131"/>
        <v>-20.942408376963357</v>
      </c>
      <c r="H412" s="383">
        <f t="shared" si="132"/>
        <v>0</v>
      </c>
      <c r="I412" s="384">
        <v>2</v>
      </c>
      <c r="J412" s="384">
        <v>0.5</v>
      </c>
      <c r="K412" s="7">
        <f t="shared" si="133"/>
        <v>0.83333333333333337</v>
      </c>
    </row>
    <row r="413" spans="1:11" x14ac:dyDescent="0.2">
      <c r="B413" s="380"/>
      <c r="C413" s="380"/>
      <c r="D413" s="359">
        <v>47</v>
      </c>
      <c r="E413" s="381">
        <v>22.8</v>
      </c>
      <c r="F413" s="382">
        <f t="shared" si="130"/>
        <v>119.37172774869109</v>
      </c>
      <c r="G413" s="382">
        <f t="shared" si="131"/>
        <v>-19.371727748691086</v>
      </c>
      <c r="H413" s="383">
        <f t="shared" si="132"/>
        <v>0</v>
      </c>
      <c r="I413" s="384">
        <v>3</v>
      </c>
      <c r="J413" s="384">
        <v>0.5</v>
      </c>
      <c r="K413" s="7">
        <f t="shared" si="133"/>
        <v>1.1666666666666667</v>
      </c>
    </row>
    <row r="414" spans="1:11" x14ac:dyDescent="0.2">
      <c r="B414" s="380"/>
      <c r="C414" s="380" t="s">
        <v>31</v>
      </c>
      <c r="D414" s="359">
        <v>50</v>
      </c>
      <c r="E414" s="381">
        <v>21.7</v>
      </c>
      <c r="F414" s="382">
        <f t="shared" si="130"/>
        <v>113.61256544502616</v>
      </c>
      <c r="G414" s="382">
        <f t="shared" si="131"/>
        <v>-13.612565445026164</v>
      </c>
      <c r="H414" s="383">
        <f t="shared" si="132"/>
        <v>0</v>
      </c>
      <c r="I414" s="384">
        <v>3.5</v>
      </c>
      <c r="J414" s="384">
        <v>2</v>
      </c>
      <c r="K414" s="7">
        <f t="shared" si="133"/>
        <v>1.8333333333333333</v>
      </c>
    </row>
    <row r="415" spans="1:11" x14ac:dyDescent="0.2">
      <c r="B415" s="380"/>
      <c r="C415" s="380"/>
      <c r="D415" s="359">
        <v>52</v>
      </c>
      <c r="E415" s="381">
        <v>20.8</v>
      </c>
      <c r="F415" s="382">
        <f t="shared" si="130"/>
        <v>108.90052356020942</v>
      </c>
      <c r="G415" s="382">
        <f t="shared" si="131"/>
        <v>-8.9005235602094217</v>
      </c>
      <c r="H415" s="383">
        <f t="shared" si="132"/>
        <v>0</v>
      </c>
      <c r="I415" s="384">
        <v>3</v>
      </c>
      <c r="J415" s="384">
        <v>1</v>
      </c>
      <c r="K415" s="7">
        <f t="shared" si="133"/>
        <v>1.3333333333333333</v>
      </c>
    </row>
    <row r="416" spans="1:11" x14ac:dyDescent="0.2">
      <c r="B416" s="380"/>
      <c r="C416" s="380"/>
      <c r="D416" s="359">
        <v>54</v>
      </c>
      <c r="E416" s="381">
        <v>22.3</v>
      </c>
      <c r="F416" s="382">
        <f t="shared" si="130"/>
        <v>116.75392670157068</v>
      </c>
      <c r="G416" s="382">
        <f t="shared" si="131"/>
        <v>-16.753926701570677</v>
      </c>
      <c r="H416" s="383">
        <f t="shared" si="132"/>
        <v>0</v>
      </c>
      <c r="I416" s="384">
        <v>1.5</v>
      </c>
      <c r="J416" s="384">
        <v>0.5</v>
      </c>
      <c r="K416" s="7">
        <f t="shared" si="133"/>
        <v>0.66666666666666663</v>
      </c>
    </row>
    <row r="417" spans="2:11" x14ac:dyDescent="0.2">
      <c r="B417" s="380"/>
      <c r="C417" s="380" t="s">
        <v>30</v>
      </c>
      <c r="D417" s="359">
        <v>57</v>
      </c>
      <c r="E417" s="381">
        <v>22.4</v>
      </c>
      <c r="F417" s="382">
        <f t="shared" si="130"/>
        <v>117.27748691099475</v>
      </c>
      <c r="G417" s="382">
        <f t="shared" si="131"/>
        <v>-17.277486910994753</v>
      </c>
      <c r="H417" s="383">
        <f t="shared" si="132"/>
        <v>0</v>
      </c>
      <c r="I417" s="384">
        <v>2</v>
      </c>
      <c r="J417" s="384">
        <v>0.5</v>
      </c>
      <c r="K417" s="7">
        <f t="shared" si="133"/>
        <v>0.83333333333333337</v>
      </c>
    </row>
    <row r="418" spans="2:11" x14ac:dyDescent="0.2">
      <c r="B418" s="380"/>
      <c r="C418" s="380"/>
      <c r="D418" s="359">
        <v>59</v>
      </c>
      <c r="E418" s="381">
        <v>22.4</v>
      </c>
      <c r="F418" s="382">
        <f t="shared" si="130"/>
        <v>117.27748691099475</v>
      </c>
      <c r="G418" s="382">
        <f t="shared" si="131"/>
        <v>-17.277486910994753</v>
      </c>
      <c r="H418" s="383">
        <f t="shared" si="132"/>
        <v>0</v>
      </c>
      <c r="I418" s="384">
        <v>2.5</v>
      </c>
      <c r="J418" s="384">
        <v>1.5</v>
      </c>
      <c r="K418" s="7">
        <f t="shared" si="133"/>
        <v>1.3333333333333333</v>
      </c>
    </row>
    <row r="419" spans="2:11" x14ac:dyDescent="0.2">
      <c r="B419" s="380"/>
      <c r="C419" s="380"/>
      <c r="D419" s="359">
        <v>61</v>
      </c>
      <c r="E419" s="381">
        <v>22.1</v>
      </c>
      <c r="F419" s="382">
        <f t="shared" si="130"/>
        <v>115.70680628272252</v>
      </c>
      <c r="G419" s="382">
        <f t="shared" si="131"/>
        <v>-15.706806282722525</v>
      </c>
      <c r="H419" s="383">
        <f t="shared" si="132"/>
        <v>0</v>
      </c>
      <c r="I419" s="384">
        <v>2</v>
      </c>
      <c r="J419" s="384">
        <v>1</v>
      </c>
      <c r="K419" s="7">
        <f t="shared" si="133"/>
        <v>1</v>
      </c>
    </row>
    <row r="420" spans="2:11" ht="17" thickBot="1" x14ac:dyDescent="0.25">
      <c r="B420" s="380"/>
      <c r="C420" s="380"/>
      <c r="D420" s="370">
        <v>64</v>
      </c>
      <c r="E420" s="381">
        <v>22.5</v>
      </c>
      <c r="F420" s="382">
        <f t="shared" si="130"/>
        <v>117.80104712041883</v>
      </c>
      <c r="G420" s="382">
        <f t="shared" si="131"/>
        <v>-17.801047120418829</v>
      </c>
      <c r="H420" s="383">
        <f t="shared" si="132"/>
        <v>0</v>
      </c>
      <c r="I420" s="384">
        <v>3</v>
      </c>
      <c r="J420" s="384">
        <v>3</v>
      </c>
      <c r="K420" s="7">
        <f t="shared" si="133"/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peso</vt:lpstr>
      <vt:lpstr>DAI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Versiglia</dc:creator>
  <cp:lastModifiedBy>Alice Versiglia</cp:lastModifiedBy>
  <dcterms:created xsi:type="dcterms:W3CDTF">2026-01-27T10:34:41Z</dcterms:created>
  <dcterms:modified xsi:type="dcterms:W3CDTF">2026-03-24T15:05:21Z</dcterms:modified>
</cp:coreProperties>
</file>